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<sst xmlns="http://schemas.openxmlformats.org/spreadsheetml/2006/main" count="142" uniqueCount="41">
  <si>
    <t xml:space="preserve">S1 Auswertung</t>
  </si>
  <si>
    <t xml:space="preserve">S2 Auswertung</t>
  </si>
  <si>
    <t xml:space="preserve">S3 Auswertung</t>
  </si>
  <si>
    <t xml:space="preserve">S4 Auswertung</t>
  </si>
  <si>
    <t xml:space="preserve">S5 Auswertung</t>
  </si>
  <si>
    <t xml:space="preserve">S6 Auswertung</t>
  </si>
  <si>
    <t xml:space="preserve">S7 Auswertung</t>
  </si>
  <si>
    <t xml:space="preserve">S8 Auswertung</t>
  </si>
  <si>
    <t xml:space="preserve">S9 Auswertung</t>
  </si>
  <si>
    <t xml:space="preserve">S10 Auswertung</t>
  </si>
  <si>
    <t xml:space="preserve">S11 Auswertung</t>
  </si>
  <si>
    <t xml:space="preserve">S12 Auswertung</t>
  </si>
  <si>
    <t xml:space="preserve">S13 Auswertung</t>
  </si>
  <si>
    <t xml:space="preserve">S14 Auswertung</t>
  </si>
  <si>
    <t xml:space="preserve">S15 Auswertung</t>
  </si>
  <si>
    <t xml:space="preserve">S16 Auswertung</t>
  </si>
  <si>
    <t xml:space="preserve">S17 Auswertung</t>
  </si>
  <si>
    <t xml:space="preserve">S18 Auswertung</t>
  </si>
  <si>
    <t xml:space="preserve">S19 Auswertung</t>
  </si>
  <si>
    <t xml:space="preserve">S20 Auswertung</t>
  </si>
  <si>
    <t xml:space="preserve">Mittelwert</t>
  </si>
  <si>
    <t xml:space="preserve">SD</t>
  </si>
  <si>
    <t xml:space="preserve">Anfang A</t>
  </si>
  <si>
    <t xml:space="preserve">Fachbegriffe</t>
  </si>
  <si>
    <t xml:space="preserve">falsch verwendete Fachbegriffe</t>
  </si>
  <si>
    <t xml:space="preserve">Körperteile</t>
  </si>
  <si>
    <t xml:space="preserve">falsch verwendete Körperteile</t>
  </si>
  <si>
    <t xml:space="preserve">Verben</t>
  </si>
  <si>
    <t xml:space="preserve">falsch verwendete/ umgangssprachlich</t>
  </si>
  <si>
    <t xml:space="preserve">Adjektive</t>
  </si>
  <si>
    <t xml:space="preserve">falsch verwendete Adjektive</t>
  </si>
  <si>
    <t xml:space="preserve">Präposition</t>
  </si>
  <si>
    <t xml:space="preserve">falsch verwendete Präposition</t>
  </si>
  <si>
    <t xml:space="preserve">Anzahl der Wörter</t>
  </si>
  <si>
    <t xml:space="preserve">Anzahl Sätze</t>
  </si>
  <si>
    <t xml:space="preserve">Vollständige Sätze</t>
  </si>
  <si>
    <t xml:space="preserve">Text sachlich</t>
  </si>
  <si>
    <t xml:space="preserve">Text vollständig</t>
  </si>
  <si>
    <t xml:space="preserve">Ende A</t>
  </si>
  <si>
    <t xml:space="preserve">Anfang B</t>
  </si>
  <si>
    <t xml:space="preserve">Ende 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</si>
</sst>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9:AB75"/>
  <sheetViews>
    <sheetView showFormulas="false" showGridLines="true" showRowColHeaders="true" showZeros="true" rightToLeft="false" tabSelected="true" showOutlineSymbols="true" defaultGridColor="true" view="normal" topLeftCell="B7" colorId="64" zoomScale="100" zoomScaleNormal="100" zoomScalePageLayoutView="100" workbookViewId="0">
      <selection pane="topLeft" activeCell="E10" activeCellId="0" sqref="E10"/>
    </sheetView>
  </sheetViews>
  <sheetFormatPr defaultColWidth="10.5390625" defaultRowHeight="14.5" zeroHeight="false" outlineLevelRow="0" outlineLevelCol="0"/>
  <cols>
    <col collapsed="false" customWidth="true" hidden="false" outlineLevel="0" max="5" min="5" style="0" width="33.99"/>
    <col collapsed="false" customWidth="true" hidden="false" outlineLevel="0" max="6" min="6" style="0" width="15.54"/>
  </cols>
  <sheetData>
    <row r="9" customFormat="false" ht="14.5" hidden="false" customHeight="false" outlineLevel="0" collapsed="false">
      <c r="F9" s="0" t="s">
        <v>0</v>
      </c>
      <c r="G9" s="0" t="s">
        <v>1</v>
      </c>
      <c r="H9" s="0" t="s">
        <v>2</v>
      </c>
      <c r="I9" s="0" t="s">
        <v>3</v>
      </c>
      <c r="J9" s="0" t="s">
        <v>4</v>
      </c>
      <c r="K9" s="0" t="s">
        <v>5</v>
      </c>
      <c r="L9" s="0" t="s">
        <v>6</v>
      </c>
      <c r="M9" s="0" t="s">
        <v>7</v>
      </c>
      <c r="N9" s="0" t="s">
        <v>8</v>
      </c>
      <c r="O9" s="0" t="s">
        <v>9</v>
      </c>
      <c r="P9" s="0" t="s">
        <v>10</v>
      </c>
      <c r="Q9" s="0" t="s">
        <v>11</v>
      </c>
      <c r="R9" s="0" t="s">
        <v>12</v>
      </c>
      <c r="S9" s="0" t="s">
        <v>13</v>
      </c>
      <c r="T9" s="0" t="s">
        <v>14</v>
      </c>
      <c r="U9" s="0" t="s">
        <v>15</v>
      </c>
      <c r="V9" s="0" t="s">
        <v>16</v>
      </c>
      <c r="W9" s="0" t="s">
        <v>17</v>
      </c>
      <c r="X9" s="0" t="s">
        <v>18</v>
      </c>
      <c r="Y9" s="0" t="s">
        <v>19</v>
      </c>
      <c r="AA9" s="0" t="s">
        <v>20</v>
      </c>
      <c r="AB9" s="0" t="s">
        <v>21</v>
      </c>
    </row>
    <row r="10" customFormat="false" ht="14.5" hidden="false" customHeight="false" outlineLevel="0" collapsed="false">
      <c r="D10" s="0" t="s">
        <v>22</v>
      </c>
      <c r="E10" s="0" t="s">
        <v>23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0.0540540540540541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AA10" s="0" t="n">
        <v>0.0027027027027027</v>
      </c>
      <c r="AB10" s="0" t="n">
        <v>0.0120868539324313</v>
      </c>
    </row>
    <row r="11" customFormat="false" ht="14.5" hidden="false" customHeight="false" outlineLevel="0" collapsed="false">
      <c r="D11" s="0" t="s">
        <v>22</v>
      </c>
      <c r="E11" s="0" t="s">
        <v>24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-0.0384615384615385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AA11" s="0" t="n">
        <v>-0.00192307692307692</v>
      </c>
      <c r="AB11" s="0" t="n">
        <v>0.00860026145192227</v>
      </c>
    </row>
    <row r="12" customFormat="false" ht="14.5" hidden="false" customHeight="false" outlineLevel="0" collapsed="false">
      <c r="D12" s="0" t="s">
        <v>22</v>
      </c>
      <c r="E12" s="0" t="s">
        <v>25</v>
      </c>
      <c r="F12" s="0" t="n">
        <v>0</v>
      </c>
      <c r="G12" s="0" t="n">
        <v>0.15</v>
      </c>
      <c r="H12" s="0" t="n">
        <v>0.0769230769230769</v>
      </c>
      <c r="I12" s="0" t="n">
        <v>0</v>
      </c>
      <c r="J12" s="0" t="n">
        <v>0.1</v>
      </c>
      <c r="K12" s="0" t="n">
        <v>0.0975609756097561</v>
      </c>
      <c r="L12" s="0" t="n">
        <v>0</v>
      </c>
      <c r="M12" s="0" t="n">
        <v>0.0384615384615385</v>
      </c>
      <c r="N12" s="0" t="n">
        <v>0.142857142857143</v>
      </c>
      <c r="O12" s="0" t="n">
        <v>0.181818181818182</v>
      </c>
      <c r="P12" s="0" t="n">
        <v>0.194444444444444</v>
      </c>
      <c r="Q12" s="0" t="n">
        <v>0</v>
      </c>
      <c r="R12" s="0" t="n">
        <v>0</v>
      </c>
      <c r="S12" s="0" t="n">
        <v>0.189189189189189</v>
      </c>
      <c r="T12" s="0" t="n">
        <v>0.0869565217391304</v>
      </c>
      <c r="U12" s="0" t="n">
        <v>0</v>
      </c>
      <c r="V12" s="0" t="n">
        <v>0.181818181818182</v>
      </c>
      <c r="W12" s="0" t="n">
        <v>0.115384615384615</v>
      </c>
      <c r="X12" s="0" t="n">
        <v>0.0975609756097561</v>
      </c>
      <c r="Y12" s="0" t="n">
        <v>0.05</v>
      </c>
      <c r="AA12" s="0" t="n">
        <v>0.0851487421927507</v>
      </c>
      <c r="AB12" s="0" t="n">
        <v>0.0716080982094411</v>
      </c>
    </row>
    <row r="13" customFormat="false" ht="14.5" hidden="false" customHeight="false" outlineLevel="0" collapsed="false">
      <c r="D13" s="0" t="s">
        <v>22</v>
      </c>
      <c r="E13" s="0" t="s">
        <v>26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-0.027027027027027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AA13" s="0" t="n">
        <v>-0.00135135135135135</v>
      </c>
      <c r="AB13" s="0" t="n">
        <v>0.00604342696621565</v>
      </c>
    </row>
    <row r="14" customFormat="false" ht="14.5" hidden="false" customHeight="false" outlineLevel="0" collapsed="false">
      <c r="D14" s="0" t="s">
        <v>22</v>
      </c>
      <c r="E14" s="0" t="s">
        <v>27</v>
      </c>
      <c r="F14" s="0" t="n">
        <v>0.117647058823529</v>
      </c>
      <c r="G14" s="0" t="n">
        <v>0.1</v>
      </c>
      <c r="H14" s="0" t="n">
        <v>0.179487179487179</v>
      </c>
      <c r="I14" s="0" t="n">
        <v>0.133333333333333</v>
      </c>
      <c r="J14" s="0" t="n">
        <v>0.05</v>
      </c>
      <c r="K14" s="0" t="n">
        <v>0</v>
      </c>
      <c r="L14" s="0" t="n">
        <v>0.125</v>
      </c>
      <c r="M14" s="0" t="n">
        <v>0.0384615384615385</v>
      </c>
      <c r="N14" s="0" t="n">
        <v>0.0952380952380952</v>
      </c>
      <c r="O14" s="0" t="n">
        <v>0.0909090909090909</v>
      </c>
      <c r="P14" s="0" t="n">
        <v>0.0833333333333333</v>
      </c>
      <c r="Q14" s="0" t="n">
        <v>0.148148148148148</v>
      </c>
      <c r="R14" s="0" t="n">
        <v>0.117647058823529</v>
      </c>
      <c r="S14" s="0" t="n">
        <v>0.027027027027027</v>
      </c>
      <c r="T14" s="0" t="n">
        <v>0.173913043478261</v>
      </c>
      <c r="U14" s="0" t="n">
        <v>0.222222222222222</v>
      </c>
      <c r="V14" s="0" t="n">
        <v>0.0909090909090909</v>
      </c>
      <c r="W14" s="0" t="n">
        <v>0.115384615384615</v>
      </c>
      <c r="X14" s="0" t="n">
        <v>0.146341463414634</v>
      </c>
      <c r="Y14" s="0" t="n">
        <v>0.1</v>
      </c>
      <c r="AA14" s="0" t="n">
        <v>0.107750114949681</v>
      </c>
      <c r="AB14" s="0" t="n">
        <v>0.0536349874746362</v>
      </c>
    </row>
    <row r="15" customFormat="false" ht="14.5" hidden="false" customHeight="false" outlineLevel="0" collapsed="false">
      <c r="D15" s="0" t="s">
        <v>22</v>
      </c>
      <c r="E15" s="0" t="s">
        <v>28</v>
      </c>
      <c r="F15" s="0" t="n">
        <v>0</v>
      </c>
      <c r="G15" s="0" t="n">
        <v>-0.075</v>
      </c>
      <c r="H15" s="0" t="n">
        <v>0</v>
      </c>
      <c r="I15" s="0" t="n">
        <v>0</v>
      </c>
      <c r="J15" s="0" t="n">
        <v>-0.05</v>
      </c>
      <c r="K15" s="0" t="n">
        <v>-0.0731707317073171</v>
      </c>
      <c r="L15" s="0" t="n">
        <v>0</v>
      </c>
      <c r="M15" s="0" t="n">
        <v>-0.0769230769230769</v>
      </c>
      <c r="N15" s="0" t="n">
        <v>0</v>
      </c>
      <c r="O15" s="0" t="n">
        <v>-0.0227272727272727</v>
      </c>
      <c r="P15" s="0" t="n">
        <v>-0.0277777777777778</v>
      </c>
      <c r="Q15" s="0" t="n">
        <v>-0.037037037037037</v>
      </c>
      <c r="R15" s="0" t="n">
        <v>0</v>
      </c>
      <c r="S15" s="0" t="n">
        <v>-0.027027027027027</v>
      </c>
      <c r="T15" s="0" t="n">
        <v>0</v>
      </c>
      <c r="U15" s="0" t="n">
        <v>0</v>
      </c>
      <c r="V15" s="0" t="n">
        <v>-0.0227272727272727</v>
      </c>
      <c r="W15" s="0" t="n">
        <v>0</v>
      </c>
      <c r="X15" s="0" t="n">
        <v>-0.0487804878048781</v>
      </c>
      <c r="Y15" s="0" t="n">
        <v>-0.05</v>
      </c>
      <c r="AA15" s="0" t="n">
        <v>-0.025558534186583</v>
      </c>
      <c r="AB15" s="0" t="n">
        <v>0.0282076356114316</v>
      </c>
    </row>
    <row r="16" customFormat="false" ht="14.5" hidden="false" customHeight="false" outlineLevel="0" collapsed="false">
      <c r="D16" s="0" t="s">
        <v>22</v>
      </c>
      <c r="E16" s="0" t="s">
        <v>29</v>
      </c>
      <c r="F16" s="0" t="n">
        <v>0</v>
      </c>
      <c r="G16" s="0" t="n">
        <v>0</v>
      </c>
      <c r="H16" s="0" t="n">
        <v>0.0769230769230769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0.027027027027027</v>
      </c>
      <c r="T16" s="0" t="n">
        <v>0.0434782608695652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0.1</v>
      </c>
      <c r="AA16" s="0" t="n">
        <v>0.0123714182409835</v>
      </c>
      <c r="AB16" s="0" t="n">
        <v>0.0285407735442771</v>
      </c>
    </row>
    <row r="17" customFormat="false" ht="14.5" hidden="false" customHeight="false" outlineLevel="0" collapsed="false">
      <c r="D17" s="0" t="s">
        <v>22</v>
      </c>
      <c r="E17" s="0" t="s">
        <v>30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AA17" s="0" t="n">
        <v>0</v>
      </c>
      <c r="AB17" s="0" t="n">
        <v>0</v>
      </c>
    </row>
    <row r="18" customFormat="false" ht="14.5" hidden="false" customHeight="false" outlineLevel="0" collapsed="false">
      <c r="D18" s="0" t="s">
        <v>22</v>
      </c>
      <c r="E18" s="0" t="s">
        <v>31</v>
      </c>
      <c r="F18" s="0" t="n">
        <v>0.0588235294117647</v>
      </c>
      <c r="G18" s="0" t="n">
        <v>0.125</v>
      </c>
      <c r="H18" s="0" t="n">
        <v>0.0769230769230769</v>
      </c>
      <c r="I18" s="0" t="n">
        <v>0</v>
      </c>
      <c r="J18" s="0" t="n">
        <v>0.1</v>
      </c>
      <c r="K18" s="0" t="n">
        <v>0.121951219512195</v>
      </c>
      <c r="L18" s="0" t="n">
        <v>0.125</v>
      </c>
      <c r="M18" s="0" t="n">
        <v>0.0384615384615385</v>
      </c>
      <c r="N18" s="0" t="n">
        <v>0.0952380952380952</v>
      </c>
      <c r="O18" s="0" t="n">
        <v>0.0681818181818182</v>
      </c>
      <c r="P18" s="0" t="n">
        <v>0.0555555555555556</v>
      </c>
      <c r="Q18" s="0" t="n">
        <v>0.111111111111111</v>
      </c>
      <c r="R18" s="0" t="n">
        <v>0.0588235294117647</v>
      </c>
      <c r="S18" s="0" t="n">
        <v>0.0810810810810811</v>
      </c>
      <c r="T18" s="0" t="n">
        <v>0.0869565217391304</v>
      </c>
      <c r="U18" s="0" t="n">
        <v>0</v>
      </c>
      <c r="V18" s="0" t="n">
        <v>0.0454545454545455</v>
      </c>
      <c r="W18" s="0" t="n">
        <v>0.0384615384615385</v>
      </c>
      <c r="X18" s="0" t="n">
        <v>0.0731707317073171</v>
      </c>
      <c r="Y18" s="0" t="n">
        <v>0</v>
      </c>
      <c r="AA18" s="0" t="n">
        <v>0.0680096946125266</v>
      </c>
      <c r="AB18" s="0" t="n">
        <v>0.0398144958582676</v>
      </c>
    </row>
    <row r="19" customFormat="false" ht="14.5" hidden="false" customHeight="false" outlineLevel="0" collapsed="false">
      <c r="D19" s="0" t="s">
        <v>22</v>
      </c>
      <c r="E19" s="0" t="s">
        <v>32</v>
      </c>
      <c r="F19" s="0" t="n">
        <v>0</v>
      </c>
      <c r="G19" s="0" t="n">
        <v>-0.025</v>
      </c>
      <c r="H19" s="0" t="n">
        <v>0</v>
      </c>
      <c r="I19" s="0" t="n">
        <v>0</v>
      </c>
      <c r="J19" s="0" t="n">
        <v>-0.05</v>
      </c>
      <c r="K19" s="0" t="n">
        <v>-0.0731707317073171</v>
      </c>
      <c r="L19" s="0" t="n">
        <v>0</v>
      </c>
      <c r="M19" s="0" t="n">
        <v>-0.0384615384615385</v>
      </c>
      <c r="N19" s="0" t="n">
        <v>-0.0952380952380952</v>
      </c>
      <c r="O19" s="0" t="n">
        <v>-0.0227272727272727</v>
      </c>
      <c r="P19" s="0" t="n">
        <v>-0.0277777777777778</v>
      </c>
      <c r="Q19" s="0" t="n">
        <v>0</v>
      </c>
      <c r="R19" s="0" t="n">
        <v>0</v>
      </c>
      <c r="S19" s="0" t="n">
        <v>-0.0810810810810811</v>
      </c>
      <c r="T19" s="0" t="n">
        <v>0</v>
      </c>
      <c r="U19" s="0" t="n">
        <v>-0.0555555555555556</v>
      </c>
      <c r="V19" s="0" t="n">
        <v>-0.0227272727272727</v>
      </c>
      <c r="W19" s="0" t="n">
        <v>-0.153846153846154</v>
      </c>
      <c r="X19" s="0" t="n">
        <v>-0.024390243902439</v>
      </c>
      <c r="Y19" s="0" t="n">
        <v>0</v>
      </c>
      <c r="AA19" s="0" t="n">
        <v>-0.0334987861512252</v>
      </c>
      <c r="AB19" s="0" t="n">
        <v>0.0412399362745387</v>
      </c>
    </row>
    <row r="20" customFormat="false" ht="14.5" hidden="false" customHeight="false" outlineLevel="0" collapsed="false">
      <c r="D20" s="0" t="s">
        <v>22</v>
      </c>
      <c r="E20" s="0" t="s">
        <v>33</v>
      </c>
      <c r="F20" s="0" t="n">
        <v>17</v>
      </c>
      <c r="G20" s="0" t="n">
        <v>40</v>
      </c>
      <c r="H20" s="0" t="n">
        <v>39</v>
      </c>
      <c r="I20" s="0" t="n">
        <v>15</v>
      </c>
      <c r="J20" s="0" t="n">
        <v>20</v>
      </c>
      <c r="K20" s="0" t="n">
        <v>41</v>
      </c>
      <c r="L20" s="0" t="n">
        <v>8</v>
      </c>
      <c r="M20" s="0" t="n">
        <v>26</v>
      </c>
      <c r="N20" s="0" t="n">
        <v>42</v>
      </c>
      <c r="O20" s="0" t="n">
        <v>44</v>
      </c>
      <c r="P20" s="0" t="n">
        <v>36</v>
      </c>
      <c r="Q20" s="0" t="n">
        <v>27</v>
      </c>
      <c r="R20" s="0" t="n">
        <v>17</v>
      </c>
      <c r="S20" s="0" t="n">
        <v>37</v>
      </c>
      <c r="T20" s="0" t="n">
        <v>23</v>
      </c>
      <c r="U20" s="0" t="n">
        <v>18</v>
      </c>
      <c r="V20" s="0" t="n">
        <v>44</v>
      </c>
      <c r="W20" s="0" t="n">
        <v>26</v>
      </c>
      <c r="X20" s="0" t="n">
        <v>41</v>
      </c>
      <c r="Y20" s="0" t="n">
        <v>20</v>
      </c>
      <c r="AA20" s="0" t="n">
        <f aca="false">AVERAGE(F20:Y20)</f>
        <v>29.05</v>
      </c>
      <c r="AB20" s="0" t="n">
        <f aca="false">_xlfn.STDEV.S(F20:Y20)</f>
        <v>11.486720021055</v>
      </c>
    </row>
    <row r="21" customFormat="false" ht="14.5" hidden="false" customHeight="false" outlineLevel="0" collapsed="false">
      <c r="D21" s="0" t="s">
        <v>22</v>
      </c>
      <c r="E21" s="0" t="s">
        <v>34</v>
      </c>
      <c r="F21" s="0" t="n">
        <v>2</v>
      </c>
      <c r="G21" s="0" t="n">
        <v>5</v>
      </c>
      <c r="H21" s="0" t="n">
        <v>3</v>
      </c>
      <c r="I21" s="0" t="n">
        <v>2</v>
      </c>
      <c r="J21" s="0" t="n">
        <v>2</v>
      </c>
      <c r="K21" s="0" t="n">
        <v>2</v>
      </c>
      <c r="L21" s="0" t="n">
        <v>1</v>
      </c>
      <c r="M21" s="0" t="n">
        <v>2</v>
      </c>
      <c r="N21" s="0" t="n">
        <v>3</v>
      </c>
      <c r="O21" s="0" t="n">
        <v>4</v>
      </c>
      <c r="P21" s="0" t="n">
        <v>3</v>
      </c>
      <c r="Q21" s="0" t="n">
        <v>4</v>
      </c>
      <c r="R21" s="0" t="n">
        <v>1</v>
      </c>
      <c r="S21" s="0" t="n">
        <v>2</v>
      </c>
      <c r="T21" s="0" t="n">
        <v>3</v>
      </c>
      <c r="U21" s="0" t="n">
        <v>3</v>
      </c>
      <c r="V21" s="0" t="n">
        <v>4</v>
      </c>
      <c r="W21" s="0" t="n">
        <v>3</v>
      </c>
      <c r="X21" s="0" t="n">
        <v>5</v>
      </c>
      <c r="Y21" s="0" t="n">
        <v>4</v>
      </c>
      <c r="AA21" s="0" t="n">
        <f aca="false">AVERAGE(F21:Y21)</f>
        <v>2.9</v>
      </c>
      <c r="AB21" s="0" t="n">
        <f aca="false">_xlfn.STDEV.S(F21:Y21)</f>
        <v>1.16528740525336</v>
      </c>
    </row>
    <row r="22" customFormat="false" ht="14.5" hidden="false" customHeight="false" outlineLevel="0" collapsed="false">
      <c r="D22" s="0" t="s">
        <v>22</v>
      </c>
      <c r="E22" s="0" t="s">
        <v>35</v>
      </c>
      <c r="F22" s="0" t="n">
        <v>3</v>
      </c>
      <c r="G22" s="0" t="n">
        <v>3</v>
      </c>
      <c r="H22" s="0" t="n">
        <v>3</v>
      </c>
      <c r="I22" s="0" t="n">
        <v>3</v>
      </c>
      <c r="J22" s="0" t="n">
        <v>3</v>
      </c>
      <c r="K22" s="0" t="n">
        <v>1</v>
      </c>
      <c r="L22" s="0" t="n">
        <v>3</v>
      </c>
      <c r="M22" s="0" t="n">
        <v>3</v>
      </c>
      <c r="N22" s="0" t="n">
        <v>3</v>
      </c>
      <c r="O22" s="0" t="n">
        <v>3</v>
      </c>
      <c r="P22" s="0" t="n">
        <v>3</v>
      </c>
      <c r="Q22" s="0" t="n">
        <v>3</v>
      </c>
      <c r="R22" s="0" t="n">
        <v>1</v>
      </c>
      <c r="S22" s="0" t="n">
        <v>3</v>
      </c>
      <c r="T22" s="0" t="n">
        <v>3</v>
      </c>
      <c r="U22" s="0" t="n">
        <v>2</v>
      </c>
      <c r="V22" s="0" t="n">
        <v>2</v>
      </c>
      <c r="W22" s="0" t="n">
        <v>3</v>
      </c>
      <c r="X22" s="0" t="n">
        <v>3</v>
      </c>
      <c r="Y22" s="0" t="n">
        <v>2</v>
      </c>
      <c r="AA22" s="0" t="n">
        <f aca="false">AVERAGE(F22:Y22)</f>
        <v>2.65</v>
      </c>
      <c r="AB22" s="0" t="n">
        <f aca="false">_xlfn.STDEV.S(F22:Y22)</f>
        <v>0.670820393249937</v>
      </c>
    </row>
    <row r="23" customFormat="false" ht="14.5" hidden="false" customHeight="false" outlineLevel="0" collapsed="false">
      <c r="D23" s="0" t="s">
        <v>22</v>
      </c>
      <c r="E23" s="0" t="s">
        <v>36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1</v>
      </c>
      <c r="AA23" s="0" t="n">
        <f aca="false">AVERAGE(F23:Y23)</f>
        <v>1</v>
      </c>
      <c r="AB23" s="0" t="n">
        <f aca="false">_xlfn.STDEV.S(F23:Y23)</f>
        <v>0</v>
      </c>
    </row>
    <row r="24" customFormat="false" ht="14.5" hidden="false" customHeight="false" outlineLevel="0" collapsed="false">
      <c r="D24" s="0" t="s">
        <v>22</v>
      </c>
      <c r="E24" s="0" t="s">
        <v>37</v>
      </c>
      <c r="F24" s="0" t="n">
        <v>1</v>
      </c>
      <c r="G24" s="0" t="n">
        <v>2</v>
      </c>
      <c r="H24" s="0" t="n">
        <v>2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2</v>
      </c>
      <c r="N24" s="0" t="n">
        <v>2</v>
      </c>
      <c r="O24" s="0" t="n">
        <v>3</v>
      </c>
      <c r="P24" s="0" t="n">
        <v>2</v>
      </c>
      <c r="Q24" s="0" t="n">
        <v>1</v>
      </c>
      <c r="R24" s="0" t="n">
        <v>1</v>
      </c>
      <c r="S24" s="0" t="n">
        <v>1</v>
      </c>
      <c r="T24" s="0" t="n">
        <v>1</v>
      </c>
      <c r="U24" s="0" t="n">
        <v>1</v>
      </c>
      <c r="V24" s="0" t="n">
        <v>3</v>
      </c>
      <c r="W24" s="0" t="n">
        <v>1</v>
      </c>
      <c r="X24" s="0" t="n">
        <v>2</v>
      </c>
      <c r="Y24" s="0" t="n">
        <v>1</v>
      </c>
      <c r="AA24" s="0" t="n">
        <f aca="false">AVERAGE(F24:Y24)</f>
        <v>1.5</v>
      </c>
      <c r="AB24" s="0" t="n">
        <f aca="false">_xlfn.STDEV.S(F24:Y24)</f>
        <v>0.688247201611685</v>
      </c>
    </row>
    <row r="27" customFormat="false" ht="13.8" hidden="false" customHeight="false" outlineLevel="0" collapsed="false">
      <c r="D27" s="0" t="s">
        <v>38</v>
      </c>
      <c r="E27" s="0" t="s">
        <v>23</v>
      </c>
      <c r="F27" s="0" t="n">
        <v>0.285714285714286</v>
      </c>
      <c r="G27" s="0" t="n">
        <v>0.285714285714286</v>
      </c>
      <c r="H27" s="0" t="n">
        <v>0.0930232558139535</v>
      </c>
      <c r="I27" s="0" t="n">
        <v>0.113636363636364</v>
      </c>
      <c r="J27" s="0" t="n">
        <v>0.136363636363636</v>
      </c>
      <c r="K27" s="0" t="n">
        <v>0.125</v>
      </c>
      <c r="L27" s="0" t="n">
        <v>0.2</v>
      </c>
      <c r="M27" s="0" t="n">
        <v>0.153846153846154</v>
      </c>
      <c r="N27" s="0" t="n">
        <v>0.2</v>
      </c>
      <c r="O27" s="0" t="n">
        <v>0.212121212121212</v>
      </c>
      <c r="P27" s="0" t="n">
        <v>0.15</v>
      </c>
      <c r="Q27" s="0" t="n">
        <v>0.125</v>
      </c>
      <c r="R27" s="0" t="n">
        <v>0.25</v>
      </c>
      <c r="S27" s="0" t="n">
        <v>0.121212121212121</v>
      </c>
      <c r="T27" s="0" t="n">
        <v>0.192307692307692</v>
      </c>
      <c r="U27" s="0" t="n">
        <v>0.307692307692308</v>
      </c>
      <c r="V27" s="0" t="n">
        <v>0.157894736842105</v>
      </c>
      <c r="W27" s="0" t="n">
        <v>0.162162162162162</v>
      </c>
      <c r="X27" s="0" t="n">
        <v>0.121951219512195</v>
      </c>
      <c r="Y27" s="0" t="n">
        <v>0.157894736842105</v>
      </c>
      <c r="AA27" s="0" t="n">
        <v>0.177576708489029</v>
      </c>
      <c r="AB27" s="0" t="n">
        <v>0.0628492524435407</v>
      </c>
    </row>
    <row r="28" customFormat="false" ht="13.8" hidden="false" customHeight="false" outlineLevel="0" collapsed="false">
      <c r="D28" s="0" t="s">
        <v>38</v>
      </c>
      <c r="E28" s="0" t="s">
        <v>24</v>
      </c>
      <c r="F28" s="0" t="n">
        <v>0</v>
      </c>
      <c r="G28" s="0" t="n">
        <v>0</v>
      </c>
      <c r="H28" s="0" t="n">
        <v>0</v>
      </c>
      <c r="I28" s="0" t="n">
        <v>-0.0227272727272727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AA28" s="0" t="n">
        <v>-0.00113636363636364</v>
      </c>
      <c r="AB28" s="0" t="n">
        <v>0.00508197267613589</v>
      </c>
    </row>
    <row r="29" customFormat="false" ht="13.8" hidden="false" customHeight="false" outlineLevel="0" collapsed="false">
      <c r="D29" s="0" t="s">
        <v>38</v>
      </c>
      <c r="E29" s="0" t="s">
        <v>25</v>
      </c>
      <c r="F29" s="0" t="n">
        <v>0</v>
      </c>
      <c r="G29" s="0" t="n">
        <v>0</v>
      </c>
      <c r="H29" s="0" t="n">
        <v>0.186046511627907</v>
      </c>
      <c r="I29" s="0" t="n">
        <v>0.181818181818182</v>
      </c>
      <c r="J29" s="0" t="n">
        <v>0.0909090909090909</v>
      </c>
      <c r="K29" s="0" t="n">
        <v>0.166666666666667</v>
      </c>
      <c r="L29" s="0" t="n">
        <v>0</v>
      </c>
      <c r="M29" s="0" t="n">
        <v>0.134615384615385</v>
      </c>
      <c r="N29" s="0" t="n">
        <v>0.133333333333333</v>
      </c>
      <c r="O29" s="0" t="n">
        <v>0.121212121212121</v>
      </c>
      <c r="P29" s="0" t="n">
        <v>0.2</v>
      </c>
      <c r="Q29" s="0" t="n">
        <v>0.1875</v>
      </c>
      <c r="R29" s="0" t="n">
        <v>0</v>
      </c>
      <c r="S29" s="0" t="n">
        <v>0.181818181818182</v>
      </c>
      <c r="T29" s="0" t="n">
        <v>0.0769230769230769</v>
      </c>
      <c r="U29" s="0" t="n">
        <v>0</v>
      </c>
      <c r="V29" s="0" t="n">
        <v>0.131578947368421</v>
      </c>
      <c r="W29" s="0" t="n">
        <v>0.162162162162162</v>
      </c>
      <c r="X29" s="0" t="n">
        <v>0.146341463414634</v>
      </c>
      <c r="Y29" s="0" t="n">
        <v>0.131578947368421</v>
      </c>
      <c r="AA29" s="0" t="n">
        <v>0.111625203461879</v>
      </c>
      <c r="AB29" s="0" t="n">
        <v>0.0731152024567061</v>
      </c>
    </row>
    <row r="30" customFormat="false" ht="13.8" hidden="false" customHeight="false" outlineLevel="0" collapsed="false">
      <c r="D30" s="0" t="s">
        <v>38</v>
      </c>
      <c r="E30" s="0" t="s">
        <v>26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-0.0909090909090909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-0.05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AA30" s="0" t="n">
        <v>-0.00704545454545455</v>
      </c>
      <c r="AB30" s="0" t="n">
        <v>0.0226781766356952</v>
      </c>
    </row>
    <row r="31" customFormat="false" ht="13.8" hidden="false" customHeight="false" outlineLevel="0" collapsed="false">
      <c r="D31" s="0" t="s">
        <v>38</v>
      </c>
      <c r="E31" s="0" t="s">
        <v>27</v>
      </c>
      <c r="F31" s="0" t="n">
        <v>0.142857142857143</v>
      </c>
      <c r="G31" s="0" t="n">
        <v>0.142857142857143</v>
      </c>
      <c r="H31" s="0" t="n">
        <v>0.162790697674419</v>
      </c>
      <c r="I31" s="0" t="n">
        <v>0.136363636363636</v>
      </c>
      <c r="J31" s="0" t="n">
        <v>0.0909090909090909</v>
      </c>
      <c r="K31" s="0" t="n">
        <v>0.0833333333333333</v>
      </c>
      <c r="L31" s="0" t="n">
        <v>0.2</v>
      </c>
      <c r="M31" s="0" t="n">
        <v>0.0384615384615385</v>
      </c>
      <c r="N31" s="0" t="n">
        <v>0.133333333333333</v>
      </c>
      <c r="O31" s="0" t="n">
        <v>0.121212121212121</v>
      </c>
      <c r="P31" s="0" t="n">
        <v>0.05</v>
      </c>
      <c r="Q31" s="0" t="n">
        <v>0.0625</v>
      </c>
      <c r="R31" s="0" t="n">
        <v>0.1</v>
      </c>
      <c r="S31" s="0" t="n">
        <v>0.0909090909090909</v>
      </c>
      <c r="T31" s="0" t="n">
        <v>0.115384615384615</v>
      </c>
      <c r="U31" s="0" t="n">
        <v>0.153846153846154</v>
      </c>
      <c r="V31" s="0" t="n">
        <v>0.0789473684210526</v>
      </c>
      <c r="W31" s="0" t="n">
        <v>0.162162162162162</v>
      </c>
      <c r="X31" s="0" t="n">
        <v>0.121951219512195</v>
      </c>
      <c r="Y31" s="0" t="n">
        <v>0.105263157894737</v>
      </c>
      <c r="AA31" s="0" t="n">
        <v>0.114654090256588</v>
      </c>
      <c r="AB31" s="0" t="n">
        <v>0.0412272084732698</v>
      </c>
    </row>
    <row r="32" customFormat="false" ht="13.8" hidden="false" customHeight="false" outlineLevel="0" collapsed="false">
      <c r="D32" s="0" t="s">
        <v>38</v>
      </c>
      <c r="E32" s="0" t="s">
        <v>28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-0.0454545454545455</v>
      </c>
      <c r="K32" s="0" t="n">
        <v>-0.0416666666666667</v>
      </c>
      <c r="L32" s="0" t="n">
        <v>0</v>
      </c>
      <c r="M32" s="0" t="n">
        <v>-0.0576923076923077</v>
      </c>
      <c r="N32" s="0" t="n">
        <v>0</v>
      </c>
      <c r="O32" s="0" t="n">
        <v>0</v>
      </c>
      <c r="P32" s="0" t="n">
        <v>-0.05</v>
      </c>
      <c r="Q32" s="0" t="n">
        <v>-0.0625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-0.0263157894736842</v>
      </c>
      <c r="W32" s="0" t="n">
        <v>0</v>
      </c>
      <c r="X32" s="0" t="n">
        <v>0</v>
      </c>
      <c r="Y32" s="0" t="n">
        <v>-0.0263157894736842</v>
      </c>
      <c r="AA32" s="0" t="n">
        <v>-0.0154972549380444</v>
      </c>
      <c r="AB32" s="0" t="n">
        <v>0.0230772416022526</v>
      </c>
    </row>
    <row r="33" customFormat="false" ht="13.8" hidden="false" customHeight="false" outlineLevel="0" collapsed="false">
      <c r="D33" s="0" t="s">
        <v>38</v>
      </c>
      <c r="E33" s="0" t="s">
        <v>29</v>
      </c>
      <c r="F33" s="0" t="n">
        <v>0</v>
      </c>
      <c r="G33" s="0" t="n">
        <v>0</v>
      </c>
      <c r="H33" s="0" t="n">
        <v>0.0232558139534884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0.0384615384615385</v>
      </c>
      <c r="N33" s="0" t="n">
        <v>0.133333333333333</v>
      </c>
      <c r="O33" s="0" t="n">
        <v>0</v>
      </c>
      <c r="P33" s="0" t="n">
        <v>0</v>
      </c>
      <c r="Q33" s="0" t="n">
        <v>0.03125</v>
      </c>
      <c r="R33" s="0" t="n">
        <v>0.05</v>
      </c>
      <c r="S33" s="0" t="n">
        <v>0.0303030303030303</v>
      </c>
      <c r="T33" s="0" t="n">
        <v>0.0384615384615385</v>
      </c>
      <c r="U33" s="0" t="n">
        <v>0</v>
      </c>
      <c r="V33" s="0" t="n">
        <v>0.0263157894736842</v>
      </c>
      <c r="W33" s="0" t="n">
        <v>0.0540540540540541</v>
      </c>
      <c r="X33" s="0" t="n">
        <v>0.0487804878048781</v>
      </c>
      <c r="Y33" s="0" t="n">
        <v>0.0526315789473684</v>
      </c>
      <c r="AA33" s="0" t="n">
        <v>0.0263423582396457</v>
      </c>
      <c r="AB33" s="0" t="n">
        <v>0.0328934568468535</v>
      </c>
    </row>
    <row r="34" customFormat="false" ht="13.8" hidden="false" customHeight="false" outlineLevel="0" collapsed="false">
      <c r="D34" s="0" t="s">
        <v>38</v>
      </c>
      <c r="E34" s="0" t="s">
        <v>30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AA34" s="0" t="n">
        <v>0</v>
      </c>
      <c r="AB34" s="0" t="n">
        <v>0</v>
      </c>
    </row>
    <row r="35" customFormat="false" ht="13.8" hidden="false" customHeight="false" outlineLevel="0" collapsed="false">
      <c r="D35" s="0" t="s">
        <v>38</v>
      </c>
      <c r="E35" s="0" t="s">
        <v>31</v>
      </c>
      <c r="F35" s="0" t="n">
        <v>0.0714285714285714</v>
      </c>
      <c r="G35" s="0" t="n">
        <v>0</v>
      </c>
      <c r="H35" s="0" t="n">
        <v>0.0930232558139535</v>
      </c>
      <c r="I35" s="0" t="n">
        <v>0.136363636363636</v>
      </c>
      <c r="J35" s="0" t="n">
        <v>0.0909090909090909</v>
      </c>
      <c r="K35" s="0" t="n">
        <v>0.104166666666667</v>
      </c>
      <c r="L35" s="0" t="n">
        <v>0.1</v>
      </c>
      <c r="M35" s="0" t="n">
        <v>0.0769230769230769</v>
      </c>
      <c r="N35" s="0" t="n">
        <v>0</v>
      </c>
      <c r="O35" s="0" t="n">
        <v>0.0909090909090909</v>
      </c>
      <c r="P35" s="0" t="n">
        <v>0.1</v>
      </c>
      <c r="Q35" s="0" t="n">
        <v>0.125</v>
      </c>
      <c r="R35" s="0" t="n">
        <v>0.05</v>
      </c>
      <c r="S35" s="0" t="n">
        <v>0.0606060606060606</v>
      </c>
      <c r="T35" s="0" t="n">
        <v>0.0769230769230769</v>
      </c>
      <c r="U35" s="0" t="n">
        <v>0.153846153846154</v>
      </c>
      <c r="V35" s="0" t="n">
        <v>0.131578947368421</v>
      </c>
      <c r="W35" s="0" t="n">
        <v>0.0810810810810811</v>
      </c>
      <c r="X35" s="0" t="n">
        <v>0.0731707317073171</v>
      </c>
      <c r="Y35" s="0" t="n">
        <v>0.0263157894736842</v>
      </c>
      <c r="AA35" s="0" t="n">
        <v>0.0821122615009941</v>
      </c>
      <c r="AB35" s="0" t="n">
        <v>0.0411136099665359</v>
      </c>
    </row>
    <row r="36" customFormat="false" ht="13.8" hidden="false" customHeight="false" outlineLevel="0" collapsed="false">
      <c r="D36" s="0" t="s">
        <v>38</v>
      </c>
      <c r="E36" s="0" t="s">
        <v>32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-0.0416666666666667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-0.0606060606060606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AA36" s="0" t="n">
        <v>-0.00511363636363636</v>
      </c>
      <c r="AB36" s="0" t="n">
        <v>0.0160365046659284</v>
      </c>
    </row>
    <row r="37" customFormat="false" ht="13.8" hidden="false" customHeight="false" outlineLevel="0" collapsed="false">
      <c r="D37" s="0" t="s">
        <v>38</v>
      </c>
      <c r="E37" s="0" t="s">
        <v>33</v>
      </c>
      <c r="F37" s="0" t="n">
        <v>14</v>
      </c>
      <c r="G37" s="0" t="n">
        <v>14</v>
      </c>
      <c r="H37" s="0" t="n">
        <v>43</v>
      </c>
      <c r="I37" s="0" t="n">
        <v>44</v>
      </c>
      <c r="J37" s="0" t="n">
        <v>22</v>
      </c>
      <c r="K37" s="0" t="n">
        <v>48</v>
      </c>
      <c r="L37" s="0" t="n">
        <v>10</v>
      </c>
      <c r="M37" s="0" t="n">
        <v>52</v>
      </c>
      <c r="N37" s="0" t="n">
        <v>15</v>
      </c>
      <c r="O37" s="0" t="n">
        <v>33</v>
      </c>
      <c r="P37" s="0" t="n">
        <v>20</v>
      </c>
      <c r="Q37" s="0" t="n">
        <v>32</v>
      </c>
      <c r="R37" s="0" t="n">
        <v>20</v>
      </c>
      <c r="S37" s="0" t="n">
        <v>33</v>
      </c>
      <c r="T37" s="0" t="n">
        <v>26</v>
      </c>
      <c r="U37" s="0" t="n">
        <v>13</v>
      </c>
      <c r="V37" s="0" t="n">
        <v>38</v>
      </c>
      <c r="W37" s="0" t="n">
        <v>37</v>
      </c>
      <c r="X37" s="0" t="n">
        <v>41</v>
      </c>
      <c r="Y37" s="0" t="n">
        <v>38</v>
      </c>
      <c r="AA37" s="0" t="n">
        <f aca="false">AVERAGE(F37:Y37)</f>
        <v>29.65</v>
      </c>
      <c r="AB37" s="0" t="n">
        <f aca="false">_xlfn.STDEV.S(F37:Y37)</f>
        <v>12.9707160050712</v>
      </c>
    </row>
    <row r="38" customFormat="false" ht="13.8" hidden="false" customHeight="false" outlineLevel="0" collapsed="false">
      <c r="D38" s="0" t="s">
        <v>38</v>
      </c>
      <c r="E38" s="0" t="s">
        <v>34</v>
      </c>
      <c r="F38" s="0" t="n">
        <v>2</v>
      </c>
      <c r="G38" s="0" t="n">
        <v>2</v>
      </c>
      <c r="H38" s="0" t="n">
        <v>5</v>
      </c>
      <c r="I38" s="0" t="n">
        <v>5</v>
      </c>
      <c r="J38" s="0" t="n">
        <v>2</v>
      </c>
      <c r="K38" s="0" t="n">
        <v>3</v>
      </c>
      <c r="L38" s="0" t="n">
        <v>2</v>
      </c>
      <c r="M38" s="0" t="n">
        <v>5</v>
      </c>
      <c r="N38" s="0" t="n">
        <v>2</v>
      </c>
      <c r="O38" s="0" t="n">
        <v>4</v>
      </c>
      <c r="P38" s="0" t="n">
        <v>2</v>
      </c>
      <c r="Q38" s="0" t="n">
        <v>4</v>
      </c>
      <c r="R38" s="0" t="n">
        <v>2</v>
      </c>
      <c r="S38" s="0" t="n">
        <v>2</v>
      </c>
      <c r="T38" s="0" t="n">
        <v>3</v>
      </c>
      <c r="U38" s="0" t="n">
        <v>2</v>
      </c>
      <c r="V38" s="0" t="n">
        <v>4</v>
      </c>
      <c r="W38" s="0" t="n">
        <v>5</v>
      </c>
      <c r="X38" s="0" t="n">
        <v>3</v>
      </c>
      <c r="Y38" s="0" t="n">
        <v>5</v>
      </c>
      <c r="AA38" s="0" t="n">
        <f aca="false">AVERAGE(F38:Y38)</f>
        <v>3.2</v>
      </c>
      <c r="AB38" s="0" t="n">
        <f aca="false">_xlfn.STDEV.S(F38:Y38)</f>
        <v>1.28144655103437</v>
      </c>
    </row>
    <row r="39" customFormat="false" ht="13.8" hidden="false" customHeight="false" outlineLevel="0" collapsed="false">
      <c r="D39" s="0" t="s">
        <v>38</v>
      </c>
      <c r="E39" s="0" t="s">
        <v>35</v>
      </c>
      <c r="F39" s="0" t="n">
        <v>3</v>
      </c>
      <c r="G39" s="0" t="n">
        <v>3</v>
      </c>
      <c r="H39" s="0" t="n">
        <v>3</v>
      </c>
      <c r="I39" s="0" t="n">
        <v>3</v>
      </c>
      <c r="J39" s="0" t="n">
        <v>3</v>
      </c>
      <c r="K39" s="0" t="n">
        <v>3</v>
      </c>
      <c r="L39" s="0" t="n">
        <v>3</v>
      </c>
      <c r="M39" s="0" t="n">
        <v>2</v>
      </c>
      <c r="N39" s="0" t="n">
        <v>3</v>
      </c>
      <c r="O39" s="0" t="n">
        <v>3</v>
      </c>
      <c r="P39" s="0" t="n">
        <v>3</v>
      </c>
      <c r="Q39" s="0" t="n">
        <v>3</v>
      </c>
      <c r="R39" s="0" t="n">
        <v>3</v>
      </c>
      <c r="S39" s="0" t="n">
        <v>3</v>
      </c>
      <c r="T39" s="0" t="n">
        <v>3</v>
      </c>
      <c r="U39" s="0" t="n">
        <v>3</v>
      </c>
      <c r="V39" s="0" t="n">
        <v>3</v>
      </c>
      <c r="W39" s="0" t="n">
        <v>3</v>
      </c>
      <c r="X39" s="0" t="n">
        <v>3</v>
      </c>
      <c r="Y39" s="0" t="n">
        <v>3</v>
      </c>
      <c r="AA39" s="0" t="n">
        <f aca="false">AVERAGE(F39:Y39)</f>
        <v>2.95</v>
      </c>
      <c r="AB39" s="0" t="n">
        <f aca="false">_xlfn.STDEV.S(F39:Y39)</f>
        <v>0.223606797749979</v>
      </c>
    </row>
    <row r="40" customFormat="false" ht="13.8" hidden="false" customHeight="false" outlineLevel="0" collapsed="false">
      <c r="D40" s="0" t="s">
        <v>38</v>
      </c>
      <c r="E40" s="0" t="s">
        <v>36</v>
      </c>
      <c r="F40" s="0" t="n">
        <v>3</v>
      </c>
      <c r="G40" s="0" t="n">
        <v>3</v>
      </c>
      <c r="H40" s="0" t="n">
        <v>3</v>
      </c>
      <c r="I40" s="0" t="n">
        <v>3</v>
      </c>
      <c r="J40" s="0" t="n">
        <v>3</v>
      </c>
      <c r="K40" s="0" t="n">
        <v>3</v>
      </c>
      <c r="L40" s="0" t="n">
        <v>2</v>
      </c>
      <c r="M40" s="0" t="n">
        <v>3</v>
      </c>
      <c r="N40" s="0" t="n">
        <v>3</v>
      </c>
      <c r="O40" s="0" t="n">
        <v>3</v>
      </c>
      <c r="P40" s="0" t="n">
        <v>3</v>
      </c>
      <c r="Q40" s="0" t="n">
        <v>3</v>
      </c>
      <c r="R40" s="0" t="n">
        <v>3</v>
      </c>
      <c r="S40" s="0" t="n">
        <v>3</v>
      </c>
      <c r="T40" s="0" t="n">
        <v>3</v>
      </c>
      <c r="U40" s="0" t="n">
        <v>3</v>
      </c>
      <c r="V40" s="0" t="n">
        <v>3</v>
      </c>
      <c r="W40" s="0" t="n">
        <v>3</v>
      </c>
      <c r="X40" s="0" t="n">
        <v>3</v>
      </c>
      <c r="Y40" s="0" t="n">
        <v>3</v>
      </c>
      <c r="AA40" s="0" t="n">
        <f aca="false">AVERAGE(F40:Y40)</f>
        <v>2.95</v>
      </c>
      <c r="AB40" s="0" t="n">
        <f aca="false">_xlfn.STDEV.S(F40:Y40)</f>
        <v>0.223606797749979</v>
      </c>
    </row>
    <row r="41" customFormat="false" ht="13.8" hidden="false" customHeight="false" outlineLevel="0" collapsed="false">
      <c r="D41" s="0" t="s">
        <v>38</v>
      </c>
      <c r="E41" s="0" t="s">
        <v>37</v>
      </c>
      <c r="F41" s="0" t="n">
        <v>2</v>
      </c>
      <c r="G41" s="0" t="n">
        <v>2</v>
      </c>
      <c r="H41" s="0" t="n">
        <v>3</v>
      </c>
      <c r="I41" s="0" t="n">
        <v>3</v>
      </c>
      <c r="J41" s="0" t="n">
        <v>2</v>
      </c>
      <c r="K41" s="0" t="n">
        <v>3</v>
      </c>
      <c r="L41" s="0" t="n">
        <v>1</v>
      </c>
      <c r="M41" s="0" t="n">
        <v>3</v>
      </c>
      <c r="N41" s="0" t="n">
        <v>2</v>
      </c>
      <c r="O41" s="0" t="n">
        <v>3</v>
      </c>
      <c r="P41" s="0" t="n">
        <v>2</v>
      </c>
      <c r="Q41" s="0" t="n">
        <v>2</v>
      </c>
      <c r="R41" s="0" t="n">
        <v>2</v>
      </c>
      <c r="S41" s="0" t="n">
        <v>3</v>
      </c>
      <c r="T41" s="0" t="n">
        <v>2</v>
      </c>
      <c r="U41" s="0" t="n">
        <v>2</v>
      </c>
      <c r="V41" s="0" t="n">
        <v>3</v>
      </c>
      <c r="W41" s="0" t="n">
        <v>3</v>
      </c>
      <c r="X41" s="0" t="n">
        <v>3</v>
      </c>
      <c r="Y41" s="0" t="n">
        <v>2</v>
      </c>
      <c r="AA41" s="0" t="n">
        <f aca="false">AVERAGE(F41:Y41)</f>
        <v>2.4</v>
      </c>
      <c r="AB41" s="0" t="n">
        <f aca="false">_xlfn.STDEV.S(F41:Y41)</f>
        <v>0.598243041616119</v>
      </c>
    </row>
    <row r="44" customFormat="false" ht="13.8" hidden="false" customHeight="false" outlineLevel="0" collapsed="false">
      <c r="D44" s="0" t="s">
        <v>39</v>
      </c>
      <c r="E44" s="0" t="s">
        <v>23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0.0769230769230769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AA44" s="0" t="n">
        <v>0.00384615384615385</v>
      </c>
      <c r="AB44" s="0" t="n">
        <v>0.0172005229038445</v>
      </c>
    </row>
    <row r="45" customFormat="false" ht="13.8" hidden="false" customHeight="false" outlineLevel="0" collapsed="false">
      <c r="D45" s="0" t="s">
        <v>39</v>
      </c>
      <c r="E45" s="0" t="s">
        <v>24</v>
      </c>
      <c r="F45" s="0" t="n">
        <v>0</v>
      </c>
      <c r="G45" s="0" t="n">
        <v>-0.04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-0.0384615384615385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AA45" s="0" t="n">
        <v>-0.00392307692307692</v>
      </c>
      <c r="AB45" s="0" t="n">
        <v>0.0120775548456431</v>
      </c>
    </row>
    <row r="46" customFormat="false" ht="13.8" hidden="false" customHeight="false" outlineLevel="0" collapsed="false">
      <c r="D46" s="0" t="s">
        <v>39</v>
      </c>
      <c r="E46" s="0" t="s">
        <v>25</v>
      </c>
      <c r="F46" s="0" t="n">
        <v>0</v>
      </c>
      <c r="G46" s="0" t="n">
        <v>0.04</v>
      </c>
      <c r="H46" s="0" t="n">
        <v>0.111111111111111</v>
      </c>
      <c r="I46" s="0" t="n">
        <v>0</v>
      </c>
      <c r="J46" s="0" t="n">
        <v>0.105263157894737</v>
      </c>
      <c r="K46" s="0" t="n">
        <v>0.129032258064516</v>
      </c>
      <c r="L46" s="0" t="n">
        <v>0</v>
      </c>
      <c r="M46" s="0" t="n">
        <v>0</v>
      </c>
      <c r="N46" s="0" t="n">
        <v>0</v>
      </c>
      <c r="O46" s="0" t="n">
        <v>0.111111111111111</v>
      </c>
      <c r="P46" s="0" t="n">
        <v>0.130434782608696</v>
      </c>
      <c r="Q46" s="0" t="n">
        <v>0.0434782608695652</v>
      </c>
      <c r="R46" s="0" t="n">
        <v>0</v>
      </c>
      <c r="S46" s="0" t="n">
        <v>0.137931034482759</v>
      </c>
      <c r="T46" s="0" t="n">
        <v>0.0384615384615385</v>
      </c>
      <c r="U46" s="0" t="n">
        <v>0</v>
      </c>
      <c r="V46" s="0" t="n">
        <v>0.153846153846154</v>
      </c>
      <c r="W46" s="0" t="n">
        <v>0.1</v>
      </c>
      <c r="X46" s="0" t="n">
        <v>0.0769230769230769</v>
      </c>
      <c r="Y46" s="0" t="n">
        <v>0.0294117647058823</v>
      </c>
      <c r="AA46" s="0" t="n">
        <v>0.0603502125039573</v>
      </c>
      <c r="AB46" s="0" t="n">
        <v>0.0566785737325889</v>
      </c>
    </row>
    <row r="47" customFormat="false" ht="13.8" hidden="false" customHeight="false" outlineLevel="0" collapsed="false">
      <c r="D47" s="0" t="s">
        <v>39</v>
      </c>
      <c r="E47" s="0" t="s">
        <v>26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AA47" s="0" t="n">
        <v>0</v>
      </c>
      <c r="AB47" s="0" t="n">
        <v>0</v>
      </c>
    </row>
    <row r="48" customFormat="false" ht="13.8" hidden="false" customHeight="false" outlineLevel="0" collapsed="false">
      <c r="D48" s="0" t="s">
        <v>39</v>
      </c>
      <c r="E48" s="0" t="s">
        <v>27</v>
      </c>
      <c r="F48" s="0" t="n">
        <v>0.117647058823529</v>
      </c>
      <c r="G48" s="0" t="n">
        <v>0.08</v>
      </c>
      <c r="H48" s="0" t="n">
        <v>0.138888888888889</v>
      </c>
      <c r="I48" s="0" t="n">
        <v>0.157894736842105</v>
      </c>
      <c r="J48" s="0" t="n">
        <v>0.0526315789473684</v>
      </c>
      <c r="K48" s="0" t="n">
        <v>0.032258064516129</v>
      </c>
      <c r="L48" s="0" t="n">
        <v>0.2</v>
      </c>
      <c r="M48" s="0" t="n">
        <v>0.133333333333333</v>
      </c>
      <c r="N48" s="0" t="n">
        <v>0</v>
      </c>
      <c r="O48" s="0" t="n">
        <v>0.111111111111111</v>
      </c>
      <c r="P48" s="0" t="n">
        <v>0.0869565217391304</v>
      </c>
      <c r="Q48" s="0" t="n">
        <v>0.173913043478261</v>
      </c>
      <c r="R48" s="0" t="n">
        <v>0.0555555555555556</v>
      </c>
      <c r="S48" s="0" t="n">
        <v>0.0689655172413793</v>
      </c>
      <c r="T48" s="0" t="n">
        <v>0.115384615384615</v>
      </c>
      <c r="U48" s="0" t="n">
        <v>0.222222222222222</v>
      </c>
      <c r="V48" s="0" t="n">
        <v>0.0769230769230769</v>
      </c>
      <c r="W48" s="0" t="n">
        <v>0.1</v>
      </c>
      <c r="X48" s="0" t="n">
        <v>0.153846153846154</v>
      </c>
      <c r="Y48" s="0" t="n">
        <v>0.0588235294117647</v>
      </c>
      <c r="AA48" s="0" t="n">
        <v>0.106817750413231</v>
      </c>
      <c r="AB48" s="0" t="n">
        <v>0.0569336483679817</v>
      </c>
    </row>
    <row r="49" customFormat="false" ht="13.8" hidden="false" customHeight="false" outlineLevel="0" collapsed="false">
      <c r="D49" s="0" t="s">
        <v>39</v>
      </c>
      <c r="E49" s="0" t="s">
        <v>28</v>
      </c>
      <c r="F49" s="0" t="n">
        <v>0</v>
      </c>
      <c r="G49" s="0" t="n">
        <v>-0.08</v>
      </c>
      <c r="H49" s="0" t="n">
        <v>0</v>
      </c>
      <c r="I49" s="0" t="n">
        <v>0</v>
      </c>
      <c r="J49" s="0" t="n">
        <v>-0.105263157894737</v>
      </c>
      <c r="K49" s="0" t="n">
        <v>-0.0645161290322581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-0.0555555555555556</v>
      </c>
      <c r="S49" s="0" t="n">
        <v>-0.0344827586206897</v>
      </c>
      <c r="T49" s="0" t="n">
        <v>-0.0384615384615385</v>
      </c>
      <c r="U49" s="0" t="n">
        <v>0</v>
      </c>
      <c r="V49" s="0" t="n">
        <v>0</v>
      </c>
      <c r="W49" s="0" t="n">
        <v>0</v>
      </c>
      <c r="X49" s="0" t="n">
        <v>-0.0256410256410256</v>
      </c>
      <c r="Y49" s="0" t="n">
        <v>-0.0294117647058823</v>
      </c>
      <c r="AA49" s="0" t="n">
        <v>-0.0216665964955843</v>
      </c>
      <c r="AB49" s="0" t="n">
        <v>0.0320617165350265</v>
      </c>
    </row>
    <row r="50" customFormat="false" ht="13.8" hidden="false" customHeight="false" outlineLevel="0" collapsed="false">
      <c r="D50" s="0" t="s">
        <v>39</v>
      </c>
      <c r="E50" s="0" t="s">
        <v>29</v>
      </c>
      <c r="F50" s="0" t="n">
        <v>0</v>
      </c>
      <c r="G50" s="0" t="n">
        <v>0</v>
      </c>
      <c r="H50" s="0" t="n">
        <v>0.0277777777777778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0.0666666666666667</v>
      </c>
      <c r="N50" s="0" t="n">
        <v>0</v>
      </c>
      <c r="O50" s="0" t="n">
        <v>0</v>
      </c>
      <c r="P50" s="0" t="n">
        <v>0.0434782608695652</v>
      </c>
      <c r="Q50" s="0" t="n">
        <v>0</v>
      </c>
      <c r="R50" s="0" t="n">
        <v>0</v>
      </c>
      <c r="S50" s="0" t="n">
        <v>0.0344827586206897</v>
      </c>
      <c r="T50" s="0" t="n">
        <v>0.0769230769230769</v>
      </c>
      <c r="U50" s="0" t="n">
        <v>0</v>
      </c>
      <c r="V50" s="0" t="n">
        <v>0</v>
      </c>
      <c r="W50" s="0" t="n">
        <v>0</v>
      </c>
      <c r="X50" s="0" t="n">
        <v>0.0256410256410256</v>
      </c>
      <c r="Y50" s="0" t="n">
        <v>0.0588235294117647</v>
      </c>
      <c r="AA50" s="0" t="n">
        <v>0.0166896547955283</v>
      </c>
      <c r="AB50" s="0" t="n">
        <v>0.0259142383346815</v>
      </c>
    </row>
    <row r="51" customFormat="false" ht="13.8" hidden="false" customHeight="false" outlineLevel="0" collapsed="false">
      <c r="D51" s="0" t="s">
        <v>39</v>
      </c>
      <c r="E51" s="0" t="s">
        <v>30</v>
      </c>
      <c r="F51" s="0" t="n">
        <v>0</v>
      </c>
      <c r="G51" s="0" t="n">
        <v>0</v>
      </c>
      <c r="H51" s="0" t="n">
        <v>-0.0277777777777778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AA51" s="0" t="n">
        <v>-0.00138888888888889</v>
      </c>
      <c r="AB51" s="0" t="n">
        <v>0.00621129993749942</v>
      </c>
    </row>
    <row r="52" customFormat="false" ht="13.8" hidden="false" customHeight="false" outlineLevel="0" collapsed="false">
      <c r="D52" s="0" t="s">
        <v>39</v>
      </c>
      <c r="E52" s="0" t="s">
        <v>31</v>
      </c>
      <c r="F52" s="0" t="n">
        <v>0.0588235294117647</v>
      </c>
      <c r="G52" s="0" t="n">
        <v>0.2</v>
      </c>
      <c r="H52" s="0" t="n">
        <v>0.138888888888889</v>
      </c>
      <c r="I52" s="0" t="n">
        <v>0</v>
      </c>
      <c r="J52" s="0" t="n">
        <v>0.105263157894737</v>
      </c>
      <c r="K52" s="0" t="n">
        <v>0.0645161290322581</v>
      </c>
      <c r="L52" s="0" t="n">
        <v>0</v>
      </c>
      <c r="M52" s="0" t="n">
        <v>0</v>
      </c>
      <c r="N52" s="0" t="n">
        <v>0</v>
      </c>
      <c r="O52" s="0" t="n">
        <v>0.111111111111111</v>
      </c>
      <c r="P52" s="0" t="n">
        <v>0.0434782608695652</v>
      </c>
      <c r="Q52" s="0" t="n">
        <v>0.130434782608696</v>
      </c>
      <c r="R52" s="0" t="n">
        <v>0</v>
      </c>
      <c r="S52" s="0" t="n">
        <v>0.137931034482759</v>
      </c>
      <c r="T52" s="0" t="n">
        <v>0.0384615384615385</v>
      </c>
      <c r="U52" s="0" t="n">
        <v>0</v>
      </c>
      <c r="V52" s="0" t="n">
        <v>0.0769230769230769</v>
      </c>
      <c r="W52" s="0" t="n">
        <v>0.2</v>
      </c>
      <c r="X52" s="0" t="n">
        <v>0.0256410256410256</v>
      </c>
      <c r="Y52" s="0" t="n">
        <v>0.117647058823529</v>
      </c>
      <c r="AA52" s="0" t="n">
        <v>0.0724559797074475</v>
      </c>
      <c r="AB52" s="0" t="n">
        <v>0.0669503342216206</v>
      </c>
    </row>
    <row r="53" customFormat="false" ht="13.8" hidden="false" customHeight="false" outlineLevel="0" collapsed="false">
      <c r="D53" s="0" t="s">
        <v>39</v>
      </c>
      <c r="E53" s="0" t="s">
        <v>32</v>
      </c>
      <c r="F53" s="0" t="n">
        <v>0</v>
      </c>
      <c r="G53" s="0" t="n">
        <v>0</v>
      </c>
      <c r="H53" s="0" t="n">
        <v>0</v>
      </c>
      <c r="I53" s="0" t="n">
        <v>-0.105263157894737</v>
      </c>
      <c r="J53" s="0" t="n">
        <v>0</v>
      </c>
      <c r="K53" s="0" t="n">
        <v>-0.0967741935483871</v>
      </c>
      <c r="L53" s="0" t="n">
        <v>-0.2</v>
      </c>
      <c r="M53" s="0" t="n">
        <v>-0.0666666666666667</v>
      </c>
      <c r="N53" s="0" t="n">
        <v>0</v>
      </c>
      <c r="O53" s="0" t="n">
        <v>0</v>
      </c>
      <c r="P53" s="0" t="n">
        <v>-0.0434782608695652</v>
      </c>
      <c r="Q53" s="0" t="n">
        <v>0</v>
      </c>
      <c r="R53" s="0" t="n">
        <v>-0.111111111111111</v>
      </c>
      <c r="S53" s="0" t="n">
        <v>0</v>
      </c>
      <c r="T53" s="0" t="n">
        <v>0</v>
      </c>
      <c r="U53" s="0" t="n">
        <v>-0.111111111111111</v>
      </c>
      <c r="V53" s="0" t="n">
        <v>0</v>
      </c>
      <c r="W53" s="0" t="n">
        <v>0</v>
      </c>
      <c r="X53" s="0" t="n">
        <v>-0.0256410256410256</v>
      </c>
      <c r="Y53" s="0" t="n">
        <v>0</v>
      </c>
      <c r="AA53" s="0" t="n">
        <v>-0.0380022763421302</v>
      </c>
      <c r="AB53" s="0" t="n">
        <v>0.0576950881045947</v>
      </c>
    </row>
    <row r="54" customFormat="false" ht="13.8" hidden="false" customHeight="false" outlineLevel="0" collapsed="false">
      <c r="D54" s="0" t="s">
        <v>39</v>
      </c>
      <c r="E54" s="0" t="s">
        <v>33</v>
      </c>
      <c r="F54" s="0" t="n">
        <v>17</v>
      </c>
      <c r="G54" s="0" t="n">
        <v>25</v>
      </c>
      <c r="H54" s="0" t="n">
        <v>36</v>
      </c>
      <c r="I54" s="0" t="n">
        <v>19</v>
      </c>
      <c r="J54" s="0" t="n">
        <v>19</v>
      </c>
      <c r="K54" s="0" t="n">
        <v>31</v>
      </c>
      <c r="L54" s="0" t="n">
        <v>5</v>
      </c>
      <c r="M54" s="0" t="n">
        <v>15</v>
      </c>
      <c r="N54" s="0" t="n">
        <v>0</v>
      </c>
      <c r="O54" s="0" t="n">
        <v>9</v>
      </c>
      <c r="P54" s="0" t="n">
        <v>23</v>
      </c>
      <c r="Q54" s="0" t="n">
        <v>23</v>
      </c>
      <c r="R54" s="0" t="n">
        <v>18</v>
      </c>
      <c r="S54" s="0" t="n">
        <v>29</v>
      </c>
      <c r="T54" s="0" t="n">
        <v>26</v>
      </c>
      <c r="U54" s="0" t="n">
        <v>18</v>
      </c>
      <c r="V54" s="0" t="n">
        <v>13</v>
      </c>
      <c r="W54" s="0" t="n">
        <v>10</v>
      </c>
      <c r="X54" s="0" t="n">
        <v>39</v>
      </c>
      <c r="Y54" s="0" t="n">
        <v>34</v>
      </c>
      <c r="AA54" s="0" t="n">
        <f aca="false">AVERAGE(F54:Y54)</f>
        <v>20.45</v>
      </c>
      <c r="AB54" s="0" t="n">
        <f aca="false">_xlfn.STDEV.S(F54:Y54)</f>
        <v>10.3337719205169</v>
      </c>
    </row>
    <row r="55" customFormat="false" ht="13.8" hidden="false" customHeight="false" outlineLevel="0" collapsed="false">
      <c r="D55" s="0" t="s">
        <v>39</v>
      </c>
      <c r="E55" s="0" t="s">
        <v>34</v>
      </c>
      <c r="F55" s="0" t="n">
        <v>2</v>
      </c>
      <c r="G55" s="0" t="n">
        <v>3</v>
      </c>
      <c r="H55" s="0" t="n">
        <v>2</v>
      </c>
      <c r="I55" s="0" t="n">
        <v>2</v>
      </c>
      <c r="J55" s="0" t="n">
        <v>2</v>
      </c>
      <c r="K55" s="0" t="n">
        <v>2</v>
      </c>
      <c r="L55" s="0" t="n">
        <v>1</v>
      </c>
      <c r="M55" s="0" t="n">
        <v>1</v>
      </c>
      <c r="N55" s="0" t="n">
        <v>0</v>
      </c>
      <c r="O55" s="0" t="n">
        <v>1</v>
      </c>
      <c r="P55" s="0" t="n">
        <v>2</v>
      </c>
      <c r="Q55" s="0" t="n">
        <v>3</v>
      </c>
      <c r="R55" s="0" t="n">
        <v>1</v>
      </c>
      <c r="S55" s="0" t="n">
        <v>3</v>
      </c>
      <c r="T55" s="0" t="n">
        <v>4</v>
      </c>
      <c r="U55" s="0" t="n">
        <v>3</v>
      </c>
      <c r="V55" s="0" t="n">
        <v>1</v>
      </c>
      <c r="W55" s="0" t="n">
        <v>1</v>
      </c>
      <c r="X55" s="0" t="n">
        <v>6</v>
      </c>
      <c r="Y55" s="0" t="n">
        <v>2</v>
      </c>
      <c r="AA55" s="0" t="n">
        <f aca="false">AVERAGE(F55:Y55)</f>
        <v>2.1</v>
      </c>
      <c r="AB55" s="0" t="n">
        <f aca="false">_xlfn.STDEV.S(F55:Y55)</f>
        <v>1.3337718577107</v>
      </c>
    </row>
    <row r="56" customFormat="false" ht="13.8" hidden="false" customHeight="false" outlineLevel="0" collapsed="false">
      <c r="D56" s="0" t="s">
        <v>39</v>
      </c>
      <c r="E56" s="0" t="s">
        <v>35</v>
      </c>
      <c r="F56" s="0" t="n">
        <v>3</v>
      </c>
      <c r="G56" s="0" t="n">
        <v>3</v>
      </c>
      <c r="H56" s="0" t="n">
        <v>3</v>
      </c>
      <c r="I56" s="0" t="n">
        <v>3</v>
      </c>
      <c r="J56" s="0" t="n">
        <v>3</v>
      </c>
      <c r="K56" s="0" t="n">
        <v>2</v>
      </c>
      <c r="L56" s="0" t="n">
        <v>3</v>
      </c>
      <c r="M56" s="0" t="n">
        <v>3</v>
      </c>
      <c r="N56" s="0" t="n">
        <v>3</v>
      </c>
      <c r="O56" s="0" t="n">
        <v>3</v>
      </c>
      <c r="P56" s="0" t="n">
        <v>3</v>
      </c>
      <c r="Q56" s="0" t="n">
        <v>3</v>
      </c>
      <c r="R56" s="0" t="n">
        <v>1</v>
      </c>
      <c r="S56" s="0" t="n">
        <v>3</v>
      </c>
      <c r="T56" s="0" t="n">
        <v>3</v>
      </c>
      <c r="U56" s="0" t="n">
        <v>3</v>
      </c>
      <c r="V56" s="0" t="n">
        <v>3</v>
      </c>
      <c r="W56" s="0" t="n">
        <v>3</v>
      </c>
      <c r="X56" s="0" t="n">
        <v>3</v>
      </c>
      <c r="Y56" s="0" t="n">
        <v>2</v>
      </c>
      <c r="AA56" s="0" t="n">
        <f aca="false">AVERAGE(F56:Y56)</f>
        <v>2.8</v>
      </c>
      <c r="AB56" s="0" t="n">
        <f aca="false">_xlfn.STDEV.S(F56:Y56)</f>
        <v>0.523148363780596</v>
      </c>
    </row>
    <row r="57" customFormat="false" ht="13.8" hidden="false" customHeight="false" outlineLevel="0" collapsed="false">
      <c r="D57" s="0" t="s">
        <v>39</v>
      </c>
      <c r="E57" s="0" t="s">
        <v>36</v>
      </c>
      <c r="F57" s="0" t="n">
        <v>1</v>
      </c>
      <c r="G57" s="0" t="n">
        <v>1</v>
      </c>
      <c r="H57" s="0" t="n">
        <v>1</v>
      </c>
      <c r="I57" s="0" t="n">
        <v>2</v>
      </c>
      <c r="J57" s="0" t="n">
        <v>1</v>
      </c>
      <c r="K57" s="0" t="n">
        <v>1</v>
      </c>
      <c r="L57" s="0" t="n">
        <v>1</v>
      </c>
      <c r="M57" s="0" t="n">
        <v>1</v>
      </c>
      <c r="N57" s="0" t="n">
        <v>0</v>
      </c>
      <c r="O57" s="0" t="n">
        <v>2</v>
      </c>
      <c r="P57" s="0" t="n">
        <v>1</v>
      </c>
      <c r="Q57" s="0" t="n">
        <v>1</v>
      </c>
      <c r="R57" s="0" t="n">
        <v>1</v>
      </c>
      <c r="S57" s="0" t="n">
        <v>2</v>
      </c>
      <c r="T57" s="0" t="n">
        <v>1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1</v>
      </c>
      <c r="AA57" s="0" t="n">
        <f aca="false">AVERAGE(F57:Y57)</f>
        <v>1.1</v>
      </c>
      <c r="AB57" s="0" t="n">
        <f aca="false">_xlfn.STDEV.S(F57:Y57)</f>
        <v>0.447213595499958</v>
      </c>
    </row>
    <row r="58" customFormat="false" ht="13.8" hidden="false" customHeight="false" outlineLevel="0" collapsed="false">
      <c r="D58" s="0" t="s">
        <v>39</v>
      </c>
      <c r="E58" s="0" t="s">
        <v>37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1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1</v>
      </c>
      <c r="Q58" s="0" t="n">
        <v>1</v>
      </c>
      <c r="R58" s="0" t="n">
        <v>1</v>
      </c>
      <c r="S58" s="0" t="n">
        <v>0</v>
      </c>
      <c r="T58" s="0" t="n">
        <v>1</v>
      </c>
      <c r="U58" s="0" t="n">
        <v>1</v>
      </c>
      <c r="V58" s="0" t="n">
        <v>1</v>
      </c>
      <c r="W58" s="0" t="n">
        <v>1</v>
      </c>
      <c r="X58" s="0" t="n">
        <v>2</v>
      </c>
      <c r="Y58" s="0" t="n">
        <v>1</v>
      </c>
      <c r="AA58" s="0" t="n">
        <f aca="false">AVERAGE(F58:Y58)</f>
        <v>0.85</v>
      </c>
      <c r="AB58" s="0" t="n">
        <f aca="false">_xlfn.STDEV.S(F58:Y58)</f>
        <v>0.489360484929593</v>
      </c>
    </row>
    <row r="61" customFormat="false" ht="13.8" hidden="false" customHeight="false" outlineLevel="0" collapsed="false">
      <c r="D61" s="0" t="s">
        <v>40</v>
      </c>
      <c r="E61" s="0" t="s">
        <v>23</v>
      </c>
      <c r="F61" s="0" t="n">
        <v>0.176470588235294</v>
      </c>
      <c r="G61" s="0" t="n">
        <v>0.166666666666667</v>
      </c>
      <c r="H61" s="0" t="n">
        <v>0.102564102564103</v>
      </c>
      <c r="I61" s="0" t="n">
        <v>0.129032258064516</v>
      </c>
      <c r="J61" s="0" t="n">
        <v>0.166666666666667</v>
      </c>
      <c r="K61" s="0" t="n">
        <v>0.0697674418604651</v>
      </c>
      <c r="L61" s="0" t="n">
        <v>0.2</v>
      </c>
      <c r="M61" s="0" t="n">
        <v>0.127659574468085</v>
      </c>
      <c r="N61" s="0" t="n">
        <v>0.25</v>
      </c>
      <c r="O61" s="0" t="n">
        <v>0.157894736842105</v>
      </c>
      <c r="P61" s="0" t="n">
        <v>0.125</v>
      </c>
      <c r="Q61" s="0" t="n">
        <v>0.142857142857143</v>
      </c>
      <c r="R61" s="0" t="n">
        <v>0.238095238095238</v>
      </c>
      <c r="S61" s="0" t="n">
        <v>0.125</v>
      </c>
      <c r="T61" s="0" t="n">
        <v>0.166666666666667</v>
      </c>
      <c r="U61" s="0" t="n">
        <v>0.230769230769231</v>
      </c>
      <c r="V61" s="0" t="n">
        <v>0.117647058823529</v>
      </c>
      <c r="W61" s="0" t="n">
        <v>0.142857142857143</v>
      </c>
      <c r="X61" s="0" t="n">
        <v>0.103448275862069</v>
      </c>
      <c r="Y61" s="0" t="n">
        <v>0.133333333333333</v>
      </c>
      <c r="AA61" s="0" t="n">
        <v>0.153619806231613</v>
      </c>
      <c r="AB61" s="0" t="n">
        <v>0.0473444794196041</v>
      </c>
    </row>
    <row r="62" customFormat="false" ht="13.8" hidden="false" customHeight="false" outlineLevel="0" collapsed="false">
      <c r="D62" s="0" t="s">
        <v>40</v>
      </c>
      <c r="E62" s="0" t="s">
        <v>24</v>
      </c>
      <c r="F62" s="0" t="n">
        <v>0</v>
      </c>
      <c r="G62" s="0" t="n">
        <v>-0.0416666666666667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-0.05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AA62" s="0" t="n">
        <v>-0.00458333333333333</v>
      </c>
      <c r="AB62" s="0" t="n">
        <v>0.0141718256860171</v>
      </c>
    </row>
    <row r="63" customFormat="false" ht="13.8" hidden="false" customHeight="false" outlineLevel="0" collapsed="false">
      <c r="D63" s="0" t="s">
        <v>40</v>
      </c>
      <c r="E63" s="0" t="s">
        <v>25</v>
      </c>
      <c r="F63" s="0" t="n">
        <v>0</v>
      </c>
      <c r="G63" s="0" t="n">
        <v>0.125</v>
      </c>
      <c r="H63" s="0" t="n">
        <v>0.153846153846154</v>
      </c>
      <c r="I63" s="0" t="n">
        <v>0.161290322580645</v>
      </c>
      <c r="J63" s="0" t="n">
        <v>0.166666666666667</v>
      </c>
      <c r="K63" s="0" t="n">
        <v>0.186046511627907</v>
      </c>
      <c r="L63" s="0" t="n">
        <v>0.05</v>
      </c>
      <c r="M63" s="0" t="n">
        <v>0.148936170212766</v>
      </c>
      <c r="N63" s="0" t="n">
        <v>0.0625</v>
      </c>
      <c r="O63" s="0" t="n">
        <v>0.157894736842105</v>
      </c>
      <c r="P63" s="0" t="n">
        <v>0.166666666666667</v>
      </c>
      <c r="Q63" s="0" t="n">
        <v>0.107142857142857</v>
      </c>
      <c r="R63" s="0" t="n">
        <v>0.0476190476190476</v>
      </c>
      <c r="S63" s="0" t="n">
        <v>0.125</v>
      </c>
      <c r="T63" s="0" t="n">
        <v>0.0833333333333333</v>
      </c>
      <c r="U63" s="0" t="n">
        <v>0.0769230769230769</v>
      </c>
      <c r="V63" s="0" t="n">
        <v>0.147058823529412</v>
      </c>
      <c r="W63" s="0" t="n">
        <v>0.142857142857143</v>
      </c>
      <c r="X63" s="0" t="n">
        <v>0.172413793103448</v>
      </c>
      <c r="Y63" s="0" t="n">
        <v>0.0888888888888889</v>
      </c>
      <c r="AA63" s="0" t="n">
        <v>0.118504209592006</v>
      </c>
      <c r="AB63" s="0" t="n">
        <v>0.0513128050908156</v>
      </c>
    </row>
    <row r="64" customFormat="false" ht="13.8" hidden="false" customHeight="false" outlineLevel="0" collapsed="false">
      <c r="D64" s="0" t="s">
        <v>40</v>
      </c>
      <c r="E64" s="0" t="s">
        <v>26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-0.0357142857142857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-0.0444444444444444</v>
      </c>
      <c r="AA64" s="0" t="n">
        <v>-0.00400793650793651</v>
      </c>
      <c r="AB64" s="0" t="n">
        <v>0.012417194667972</v>
      </c>
    </row>
    <row r="65" customFormat="false" ht="13.8" hidden="false" customHeight="false" outlineLevel="0" collapsed="false">
      <c r="D65" s="0" t="s">
        <v>40</v>
      </c>
      <c r="E65" s="0" t="s">
        <v>27</v>
      </c>
      <c r="F65" s="0" t="n">
        <v>0.117647058823529</v>
      </c>
      <c r="G65" s="0" t="n">
        <v>0.125</v>
      </c>
      <c r="H65" s="0" t="n">
        <v>0.128205128205128</v>
      </c>
      <c r="I65" s="0" t="n">
        <v>0.129032258064516</v>
      </c>
      <c r="J65" s="0" t="n">
        <v>0.0555555555555556</v>
      </c>
      <c r="K65" s="0" t="n">
        <v>0.0930232558139535</v>
      </c>
      <c r="L65" s="0" t="n">
        <v>0.15</v>
      </c>
      <c r="M65" s="0" t="n">
        <v>0.0638297872340425</v>
      </c>
      <c r="N65" s="0" t="n">
        <v>0.1875</v>
      </c>
      <c r="O65" s="0" t="n">
        <v>0.157894736842105</v>
      </c>
      <c r="P65" s="0" t="n">
        <v>0.0416666666666667</v>
      </c>
      <c r="Q65" s="0" t="n">
        <v>0.142857142857143</v>
      </c>
      <c r="R65" s="0" t="n">
        <v>0.142857142857143</v>
      </c>
      <c r="S65" s="0" t="n">
        <v>0.0833333333333333</v>
      </c>
      <c r="T65" s="0" t="n">
        <v>0.125</v>
      </c>
      <c r="U65" s="0" t="n">
        <v>0.0769230769230769</v>
      </c>
      <c r="V65" s="0" t="n">
        <v>0.117647058823529</v>
      </c>
      <c r="W65" s="0" t="n">
        <v>0.142857142857143</v>
      </c>
      <c r="X65" s="0" t="n">
        <v>0.137931034482759</v>
      </c>
      <c r="Y65" s="0" t="n">
        <v>0.111111111111111</v>
      </c>
      <c r="AA65" s="0" t="n">
        <v>0.116493574522537</v>
      </c>
      <c r="AB65" s="0" t="n">
        <v>0.0371315734956053</v>
      </c>
    </row>
    <row r="66" customFormat="false" ht="13.8" hidden="false" customHeight="false" outlineLevel="0" collapsed="false">
      <c r="D66" s="0" t="s">
        <v>40</v>
      </c>
      <c r="E66" s="0" t="s">
        <v>28</v>
      </c>
      <c r="F66" s="0" t="n">
        <v>-0.0588235294117647</v>
      </c>
      <c r="G66" s="0" t="n">
        <v>0</v>
      </c>
      <c r="H66" s="0" t="n">
        <v>-0.0256410256410256</v>
      </c>
      <c r="I66" s="0" t="n">
        <v>0</v>
      </c>
      <c r="J66" s="0" t="n">
        <v>-0.0555555555555556</v>
      </c>
      <c r="K66" s="0" t="n">
        <v>-0.0232558139534884</v>
      </c>
      <c r="L66" s="0" t="n">
        <v>0</v>
      </c>
      <c r="M66" s="0" t="n">
        <v>-0.106382978723404</v>
      </c>
      <c r="N66" s="0" t="n">
        <v>0</v>
      </c>
      <c r="O66" s="0" t="n">
        <v>0</v>
      </c>
      <c r="P66" s="0" t="n">
        <v>-0.0416666666666667</v>
      </c>
      <c r="Q66" s="0" t="n">
        <v>0</v>
      </c>
      <c r="R66" s="0" t="n">
        <v>0</v>
      </c>
      <c r="S66" s="0" t="n">
        <v>-0.0833333333333333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AA66" s="0" t="n">
        <v>-0.0197329451642619</v>
      </c>
      <c r="AB66" s="0" t="n">
        <v>0.0324077911884835</v>
      </c>
    </row>
    <row r="67" customFormat="false" ht="13.8" hidden="false" customHeight="false" outlineLevel="0" collapsed="false">
      <c r="D67" s="0" t="s">
        <v>40</v>
      </c>
      <c r="E67" s="0" t="s">
        <v>29</v>
      </c>
      <c r="F67" s="0" t="n">
        <v>0</v>
      </c>
      <c r="G67" s="0" t="n">
        <v>0</v>
      </c>
      <c r="H67" s="0" t="n">
        <v>0.0769230769230769</v>
      </c>
      <c r="I67" s="0" t="n">
        <v>0.032258064516129</v>
      </c>
      <c r="J67" s="0" t="n">
        <v>0</v>
      </c>
      <c r="K67" s="0" t="n">
        <v>0.0465116279069768</v>
      </c>
      <c r="L67" s="0" t="n">
        <v>0.05</v>
      </c>
      <c r="M67" s="0" t="n">
        <v>0.0425531914893617</v>
      </c>
      <c r="N67" s="0" t="n">
        <v>0</v>
      </c>
      <c r="O67" s="0" t="n">
        <v>0.0526315789473684</v>
      </c>
      <c r="P67" s="0" t="n">
        <v>0</v>
      </c>
      <c r="Q67" s="0" t="n">
        <v>0.0714285714285714</v>
      </c>
      <c r="R67" s="0" t="n">
        <v>0.0476190476190476</v>
      </c>
      <c r="S67" s="0" t="n">
        <v>0.125</v>
      </c>
      <c r="T67" s="0" t="n">
        <v>0.0416666666666667</v>
      </c>
      <c r="U67" s="0" t="n">
        <v>0.0769230769230769</v>
      </c>
      <c r="V67" s="0" t="n">
        <v>0.0294117647058823</v>
      </c>
      <c r="W67" s="0" t="n">
        <v>0.0952380952380952</v>
      </c>
      <c r="X67" s="0" t="n">
        <v>0.0689655172413793</v>
      </c>
      <c r="Y67" s="0" t="n">
        <v>0.133333333333333</v>
      </c>
      <c r="AA67" s="0" t="n">
        <v>0.0495231806469483</v>
      </c>
      <c r="AB67" s="0" t="n">
        <v>0.0399132448809158</v>
      </c>
    </row>
    <row r="68" customFormat="false" ht="13.8" hidden="false" customHeight="false" outlineLevel="0" collapsed="false">
      <c r="D68" s="0" t="s">
        <v>40</v>
      </c>
      <c r="E68" s="0" t="s">
        <v>30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-0.0238095238095238</v>
      </c>
      <c r="X68" s="0" t="n">
        <v>0</v>
      </c>
      <c r="Y68" s="0" t="n">
        <v>0</v>
      </c>
      <c r="AA68" s="0" t="n">
        <v>-0.00119047619047619</v>
      </c>
      <c r="AB68" s="0" t="n">
        <v>0.0053239713749995</v>
      </c>
    </row>
    <row r="69" customFormat="false" ht="13.8" hidden="false" customHeight="false" outlineLevel="0" collapsed="false">
      <c r="D69" s="0" t="s">
        <v>40</v>
      </c>
      <c r="E69" s="0" t="s">
        <v>31</v>
      </c>
      <c r="F69" s="0" t="n">
        <v>0</v>
      </c>
      <c r="G69" s="0" t="n">
        <v>0</v>
      </c>
      <c r="H69" s="0" t="n">
        <v>0.0769230769230769</v>
      </c>
      <c r="I69" s="0" t="n">
        <v>0.0967741935483871</v>
      </c>
      <c r="J69" s="0" t="n">
        <v>0.0555555555555556</v>
      </c>
      <c r="K69" s="0" t="n">
        <v>0.0930232558139535</v>
      </c>
      <c r="L69" s="0" t="n">
        <v>0.15</v>
      </c>
      <c r="M69" s="0" t="n">
        <v>0.0638297872340425</v>
      </c>
      <c r="N69" s="0" t="n">
        <v>0</v>
      </c>
      <c r="O69" s="0" t="n">
        <v>0.105263157894737</v>
      </c>
      <c r="P69" s="0" t="n">
        <v>0.125</v>
      </c>
      <c r="Q69" s="0" t="n">
        <v>0.107142857142857</v>
      </c>
      <c r="R69" s="0" t="n">
        <v>0.0952380952380952</v>
      </c>
      <c r="S69" s="0" t="n">
        <v>0</v>
      </c>
      <c r="T69" s="0" t="n">
        <v>0.0833333333333333</v>
      </c>
      <c r="U69" s="0" t="n">
        <v>0.0769230769230769</v>
      </c>
      <c r="V69" s="0" t="n">
        <v>0.117647058823529</v>
      </c>
      <c r="W69" s="0" t="n">
        <v>0.119047619047619</v>
      </c>
      <c r="X69" s="0" t="n">
        <v>0.0689655172413793</v>
      </c>
      <c r="Y69" s="0" t="n">
        <v>0.0444444444444444</v>
      </c>
      <c r="AA69" s="0" t="n">
        <v>0.0739555514582044</v>
      </c>
      <c r="AB69" s="0" t="n">
        <v>0.0453463052428029</v>
      </c>
    </row>
    <row r="70" customFormat="false" ht="13.8" hidden="false" customHeight="false" outlineLevel="0" collapsed="false">
      <c r="D70" s="0" t="s">
        <v>40</v>
      </c>
      <c r="E70" s="0" t="s">
        <v>32</v>
      </c>
      <c r="F70" s="0" t="n">
        <v>0</v>
      </c>
      <c r="G70" s="0" t="n">
        <v>-0.0833333333333333</v>
      </c>
      <c r="H70" s="0" t="n">
        <v>0</v>
      </c>
      <c r="I70" s="0" t="n">
        <v>-0.032258064516129</v>
      </c>
      <c r="J70" s="0" t="n">
        <v>0</v>
      </c>
      <c r="K70" s="0" t="n">
        <v>-0.0232558139534884</v>
      </c>
      <c r="L70" s="0" t="n">
        <v>0</v>
      </c>
      <c r="M70" s="0" t="n">
        <v>0</v>
      </c>
      <c r="N70" s="0" t="n">
        <v>-0.0625</v>
      </c>
      <c r="O70" s="0" t="n">
        <v>-0.0526315789473684</v>
      </c>
      <c r="P70" s="0" t="n">
        <v>0</v>
      </c>
      <c r="Q70" s="0" t="n">
        <v>0</v>
      </c>
      <c r="R70" s="0" t="n">
        <v>-0.0476190476190476</v>
      </c>
      <c r="S70" s="0" t="n">
        <v>-0.0416666666666667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AA70" s="0" t="n">
        <v>-0.0171632252518017</v>
      </c>
      <c r="AB70" s="0" t="n">
        <v>0.0264717843256373</v>
      </c>
    </row>
    <row r="71" customFormat="false" ht="13.8" hidden="false" customHeight="false" outlineLevel="0" collapsed="false">
      <c r="D71" s="0" t="s">
        <v>40</v>
      </c>
      <c r="E71" s="0" t="s">
        <v>33</v>
      </c>
      <c r="F71" s="0" t="n">
        <v>17</v>
      </c>
      <c r="G71" s="0" t="n">
        <v>24</v>
      </c>
      <c r="H71" s="0" t="n">
        <v>39</v>
      </c>
      <c r="I71" s="0" t="n">
        <v>31</v>
      </c>
      <c r="J71" s="0" t="n">
        <v>18</v>
      </c>
      <c r="K71" s="0" t="n">
        <v>43</v>
      </c>
      <c r="L71" s="0" t="n">
        <v>20</v>
      </c>
      <c r="M71" s="0" t="n">
        <v>47</v>
      </c>
      <c r="N71" s="0" t="n">
        <v>16</v>
      </c>
      <c r="O71" s="0" t="n">
        <v>19</v>
      </c>
      <c r="P71" s="0" t="n">
        <v>24</v>
      </c>
      <c r="Q71" s="0" t="n">
        <v>28</v>
      </c>
      <c r="R71" s="0" t="n">
        <v>21</v>
      </c>
      <c r="S71" s="0" t="n">
        <v>24</v>
      </c>
      <c r="T71" s="0" t="n">
        <v>24</v>
      </c>
      <c r="U71" s="0" t="n">
        <v>13</v>
      </c>
      <c r="V71" s="0" t="n">
        <v>34</v>
      </c>
      <c r="W71" s="0" t="n">
        <v>42</v>
      </c>
      <c r="X71" s="0" t="n">
        <v>29</v>
      </c>
      <c r="Y71" s="0" t="n">
        <v>45</v>
      </c>
      <c r="AA71" s="0" t="n">
        <f aca="false">AVERAGE(F71:Y71)</f>
        <v>27.9</v>
      </c>
      <c r="AB71" s="0" t="n">
        <f aca="false">_xlfn.STDEV.S(F71:Y71)</f>
        <v>10.4775449113054</v>
      </c>
    </row>
    <row r="72" customFormat="false" ht="13.8" hidden="false" customHeight="false" outlineLevel="0" collapsed="false">
      <c r="D72" s="0" t="s">
        <v>40</v>
      </c>
      <c r="E72" s="0" t="s">
        <v>34</v>
      </c>
      <c r="F72" s="0" t="n">
        <v>2</v>
      </c>
      <c r="G72" s="0" t="n">
        <v>3</v>
      </c>
      <c r="H72" s="0" t="n">
        <v>4</v>
      </c>
      <c r="I72" s="0" t="n">
        <v>4</v>
      </c>
      <c r="J72" s="0" t="n">
        <v>2</v>
      </c>
      <c r="K72" s="0" t="n">
        <v>4</v>
      </c>
      <c r="L72" s="0" t="n">
        <v>3</v>
      </c>
      <c r="M72" s="0" t="n">
        <v>5</v>
      </c>
      <c r="N72" s="0" t="n">
        <v>2</v>
      </c>
      <c r="O72" s="0" t="n">
        <v>2</v>
      </c>
      <c r="P72" s="0" t="n">
        <v>2</v>
      </c>
      <c r="Q72" s="0" t="n">
        <v>4</v>
      </c>
      <c r="R72" s="0" t="n">
        <v>2</v>
      </c>
      <c r="S72" s="0" t="n">
        <v>3</v>
      </c>
      <c r="T72" s="0" t="n">
        <v>3</v>
      </c>
      <c r="U72" s="0" t="n">
        <v>2</v>
      </c>
      <c r="V72" s="0" t="n">
        <v>2</v>
      </c>
      <c r="W72" s="0" t="n">
        <v>4</v>
      </c>
      <c r="X72" s="0" t="n">
        <v>3</v>
      </c>
      <c r="Y72" s="0" t="n">
        <v>5</v>
      </c>
      <c r="AA72" s="0" t="n">
        <f aca="false">AVERAGE(F72:Y72)</f>
        <v>3.05</v>
      </c>
      <c r="AB72" s="0" t="n">
        <f aca="false">_xlfn.STDEV.S(F72:Y72)</f>
        <v>1.05006265477226</v>
      </c>
    </row>
    <row r="73" customFormat="false" ht="13.8" hidden="false" customHeight="false" outlineLevel="0" collapsed="false">
      <c r="D73" s="0" t="s">
        <v>40</v>
      </c>
      <c r="E73" s="0" t="s">
        <v>35</v>
      </c>
      <c r="F73" s="0" t="n">
        <v>2</v>
      </c>
      <c r="G73" s="0" t="n">
        <v>3</v>
      </c>
      <c r="H73" s="0" t="n">
        <v>3</v>
      </c>
      <c r="I73" s="0" t="n">
        <v>3</v>
      </c>
      <c r="J73" s="0" t="n">
        <v>3</v>
      </c>
      <c r="K73" s="0" t="n">
        <v>3</v>
      </c>
      <c r="L73" s="0" t="n">
        <v>3</v>
      </c>
      <c r="M73" s="0" t="n">
        <v>2</v>
      </c>
      <c r="N73" s="0" t="n">
        <v>3</v>
      </c>
      <c r="O73" s="0" t="n">
        <v>3</v>
      </c>
      <c r="P73" s="0" t="n">
        <v>3</v>
      </c>
      <c r="Q73" s="0" t="n">
        <v>3</v>
      </c>
      <c r="R73" s="0" t="n">
        <v>3</v>
      </c>
      <c r="S73" s="0" t="n">
        <v>3</v>
      </c>
      <c r="T73" s="0" t="n">
        <v>3</v>
      </c>
      <c r="U73" s="0" t="n">
        <v>3</v>
      </c>
      <c r="V73" s="0" t="n">
        <v>3</v>
      </c>
      <c r="W73" s="0" t="n">
        <v>3</v>
      </c>
      <c r="X73" s="0" t="n">
        <v>3</v>
      </c>
      <c r="Y73" s="0" t="n">
        <v>3</v>
      </c>
      <c r="AA73" s="0" t="n">
        <f aca="false">AVERAGE(F73:Y73)</f>
        <v>2.9</v>
      </c>
      <c r="AB73" s="0" t="n">
        <f aca="false">_xlfn.STDEV.S(F73:Y73)</f>
        <v>0.307793505625547</v>
      </c>
    </row>
    <row r="74" customFormat="false" ht="13.8" hidden="false" customHeight="false" outlineLevel="0" collapsed="false">
      <c r="D74" s="0" t="s">
        <v>40</v>
      </c>
      <c r="E74" s="0" t="s">
        <v>36</v>
      </c>
      <c r="F74" s="0" t="n">
        <v>2</v>
      </c>
      <c r="G74" s="0" t="n">
        <v>2</v>
      </c>
      <c r="H74" s="0" t="n">
        <v>3</v>
      </c>
      <c r="I74" s="0" t="n">
        <v>3</v>
      </c>
      <c r="J74" s="0" t="n">
        <v>3</v>
      </c>
      <c r="K74" s="0" t="n">
        <v>3</v>
      </c>
      <c r="L74" s="0" t="n">
        <v>2</v>
      </c>
      <c r="M74" s="0" t="n">
        <v>3</v>
      </c>
      <c r="N74" s="0" t="n">
        <v>3</v>
      </c>
      <c r="O74" s="0" t="n">
        <v>3</v>
      </c>
      <c r="P74" s="0" t="n">
        <v>3</v>
      </c>
      <c r="Q74" s="0" t="n">
        <v>3</v>
      </c>
      <c r="R74" s="0" t="n">
        <v>3</v>
      </c>
      <c r="S74" s="0" t="n">
        <v>3</v>
      </c>
      <c r="T74" s="0" t="n">
        <v>3</v>
      </c>
      <c r="U74" s="0" t="n">
        <v>3</v>
      </c>
      <c r="V74" s="0" t="n">
        <v>3</v>
      </c>
      <c r="W74" s="0" t="n">
        <v>3</v>
      </c>
      <c r="X74" s="0" t="n">
        <v>3</v>
      </c>
      <c r="Y74" s="0" t="n">
        <v>3</v>
      </c>
      <c r="AA74" s="0" t="n">
        <f aca="false">AVERAGE(F74:Y74)</f>
        <v>2.85</v>
      </c>
      <c r="AB74" s="0" t="n">
        <f aca="false">_xlfn.STDEV.S(F74:Y74)</f>
        <v>0.366347548532524</v>
      </c>
    </row>
    <row r="75" customFormat="false" ht="13.8" hidden="false" customHeight="false" outlineLevel="0" collapsed="false">
      <c r="D75" s="0" t="s">
        <v>40</v>
      </c>
      <c r="E75" s="0" t="s">
        <v>37</v>
      </c>
      <c r="F75" s="0" t="n">
        <v>2</v>
      </c>
      <c r="G75" s="0" t="n">
        <v>2</v>
      </c>
      <c r="H75" s="0" t="n">
        <v>3</v>
      </c>
      <c r="I75" s="0" t="n">
        <v>2</v>
      </c>
      <c r="J75" s="0" t="n">
        <v>1</v>
      </c>
      <c r="K75" s="0" t="n">
        <v>3</v>
      </c>
      <c r="L75" s="0" t="n">
        <v>2</v>
      </c>
      <c r="M75" s="0" t="n">
        <v>2</v>
      </c>
      <c r="N75" s="0" t="n">
        <v>2</v>
      </c>
      <c r="O75" s="0" t="n">
        <v>2</v>
      </c>
      <c r="P75" s="0" t="n">
        <v>2</v>
      </c>
      <c r="Q75" s="0" t="n">
        <v>2</v>
      </c>
      <c r="R75" s="0" t="n">
        <v>2</v>
      </c>
      <c r="S75" s="0" t="n">
        <v>2</v>
      </c>
      <c r="T75" s="0" t="n">
        <v>2</v>
      </c>
      <c r="U75" s="0" t="n">
        <v>1</v>
      </c>
      <c r="V75" s="0" t="n">
        <v>3</v>
      </c>
      <c r="W75" s="0" t="n">
        <v>3</v>
      </c>
      <c r="X75" s="0" t="n">
        <v>2</v>
      </c>
      <c r="Y75" s="0" t="n">
        <v>3</v>
      </c>
      <c r="AA75" s="0" t="n">
        <f aca="false">AVERAGE(F75:Y75)</f>
        <v>2.15</v>
      </c>
      <c r="AB75" s="0" t="n">
        <f aca="false">_xlfn.STDEV.S(F75:Y75)</f>
        <v>0.5871429486124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2025-09-16T09:24:25Z</dcterms:created>
  <dc:creator>Marla Marai Jablonski</dc:creator>
  <dc:description/>
  <dc:language>en-GB</dc:language>
  <cp:lastModifiedBy/>
  <dcterms:modified xsi:type="dcterms:W3CDTF">2025-09-16T15:39:41Z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