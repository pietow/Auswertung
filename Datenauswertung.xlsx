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la\Documents\Bielefeld\Biele uni\2. Master\Masterarbeit\"/>
    </mc:Choice>
  </mc:AlternateContent>
  <xr:revisionPtr revIDLastSave="0" documentId="13_ncr:1_{054730F1-B609-4846-BFBB-EA1FB6D55ACB}" xr6:coauthVersionLast="47" xr6:coauthVersionMax="47" xr10:uidLastSave="{00000000-0000-0000-0000-000000000000}"/>
  <bookViews>
    <workbookView xWindow="-110" yWindow="-110" windowWidth="19420" windowHeight="10300" firstSheet="3" activeTab="4" xr2:uid="{DF35DDC0-2607-4BB2-861A-EAE869833E4F}"/>
  </bookViews>
  <sheets>
    <sheet name="Tabelle1" sheetId="1" r:id="rId1"/>
    <sheet name="alles" sheetId="2" r:id="rId2"/>
    <sheet name="Tabelle2" sheetId="4" r:id="rId3"/>
    <sheet name="Tabelle3" sheetId="5" r:id="rId4"/>
    <sheet name="Piet Datensatz" sheetId="9" r:id="rId5"/>
    <sheet name="Skala 0-100%" sheetId="6" r:id="rId6"/>
    <sheet name="Skala abhängig von Erwartung" sheetId="7" r:id="rId7"/>
    <sheet name="Skala abhängig vom Mittelwert" sheetId="8" r:id="rId8"/>
    <sheet name="Bsp_Anf_End" sheetId="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75" i="9" l="1"/>
  <c r="AA75" i="9"/>
  <c r="AB74" i="9"/>
  <c r="AA74" i="9"/>
  <c r="AB73" i="9"/>
  <c r="AA73" i="9"/>
  <c r="AB72" i="9"/>
  <c r="AA72" i="9"/>
  <c r="AB71" i="9"/>
  <c r="AA71" i="9"/>
  <c r="AB58" i="9"/>
  <c r="AA58" i="9"/>
  <c r="AB57" i="9"/>
  <c r="AA57" i="9"/>
  <c r="AB56" i="9"/>
  <c r="AA56" i="9"/>
  <c r="AB55" i="9"/>
  <c r="AA55" i="9"/>
  <c r="AB54" i="9"/>
  <c r="AA54" i="9"/>
  <c r="AB41" i="9"/>
  <c r="AA41" i="9"/>
  <c r="AB40" i="9"/>
  <c r="AA40" i="9"/>
  <c r="AB39" i="9"/>
  <c r="AA39" i="9"/>
  <c r="AB38" i="9"/>
  <c r="AA38" i="9"/>
  <c r="AB37" i="9"/>
  <c r="AA37" i="9"/>
  <c r="AB24" i="9"/>
  <c r="AA24" i="9"/>
  <c r="AB23" i="9"/>
  <c r="AA23" i="9"/>
  <c r="AB22" i="9"/>
  <c r="AA22" i="9"/>
  <c r="AB21" i="9"/>
  <c r="AA21" i="9"/>
  <c r="AB20" i="9"/>
  <c r="AA20" i="9"/>
  <c r="AA40" i="7"/>
  <c r="AA41" i="7"/>
  <c r="AA42" i="7"/>
  <c r="AA43" i="7"/>
  <c r="AA44" i="7"/>
  <c r="AA45" i="7"/>
  <c r="AA46" i="7"/>
  <c r="AA47" i="7"/>
  <c r="AA48" i="7"/>
  <c r="AA39" i="7"/>
  <c r="Z41" i="7"/>
  <c r="Z42" i="7"/>
  <c r="Z43" i="7"/>
  <c r="Z44" i="7"/>
  <c r="Z45" i="7"/>
  <c r="Z47" i="7"/>
  <c r="Z48" i="7"/>
  <c r="Z39" i="7"/>
  <c r="Y40" i="7"/>
  <c r="Y41" i="7"/>
  <c r="Y42" i="7"/>
  <c r="Y43" i="7"/>
  <c r="Y44" i="7"/>
  <c r="Y45" i="7"/>
  <c r="Y46" i="7"/>
  <c r="Y47" i="7"/>
  <c r="Y48" i="7"/>
  <c r="Y39" i="7"/>
  <c r="AG24" i="7"/>
  <c r="AG26" i="7"/>
  <c r="AG30" i="7"/>
  <c r="AG31" i="7"/>
  <c r="AA23" i="7"/>
  <c r="AA24" i="7"/>
  <c r="AA25" i="7"/>
  <c r="AA26" i="7"/>
  <c r="AA27" i="7"/>
  <c r="AA28" i="7"/>
  <c r="AA29" i="7"/>
  <c r="AA30" i="7"/>
  <c r="AA31" i="7"/>
  <c r="AA22" i="7"/>
  <c r="Z24" i="7"/>
  <c r="Z26" i="7"/>
  <c r="Z27" i="7"/>
  <c r="Z28" i="7"/>
  <c r="Z30" i="7"/>
  <c r="Z31" i="7"/>
  <c r="Z22" i="7"/>
  <c r="Y23" i="7"/>
  <c r="Y24" i="7"/>
  <c r="Y25" i="7"/>
  <c r="Y26" i="7"/>
  <c r="Y27" i="7"/>
  <c r="Y28" i="7"/>
  <c r="Y29" i="7"/>
  <c r="Y30" i="7"/>
  <c r="Y31" i="7"/>
  <c r="Y22" i="7"/>
  <c r="BF10" i="5"/>
  <c r="BF11" i="5"/>
  <c r="BF12" i="5"/>
  <c r="BF13" i="5"/>
  <c r="BF14" i="5"/>
  <c r="BF15" i="5"/>
  <c r="BF17" i="5"/>
  <c r="BF18" i="5"/>
  <c r="BF9" i="5"/>
  <c r="AC9" i="5"/>
  <c r="AC10" i="5"/>
  <c r="AC11" i="5"/>
  <c r="AC12" i="5"/>
  <c r="AC13" i="5"/>
  <c r="AC14" i="5"/>
  <c r="AC16" i="5"/>
  <c r="AC17" i="5"/>
  <c r="AC18" i="5"/>
  <c r="AC19" i="5"/>
  <c r="AC20" i="5"/>
  <c r="AC22" i="5"/>
  <c r="AC23" i="5"/>
  <c r="AC25" i="5"/>
  <c r="AC26" i="5"/>
  <c r="AC27" i="5"/>
  <c r="AC28" i="5"/>
  <c r="AC29" i="5"/>
  <c r="AC30" i="5"/>
  <c r="AC31" i="5"/>
  <c r="AC33" i="5"/>
  <c r="AC34" i="5"/>
  <c r="AC35" i="5"/>
  <c r="AC36" i="5"/>
  <c r="AC37" i="5"/>
  <c r="AC39" i="5"/>
  <c r="AC40" i="5"/>
  <c r="AC42" i="5"/>
  <c r="AC43" i="5"/>
  <c r="AC44" i="5"/>
  <c r="AC46" i="5"/>
  <c r="AC47" i="5"/>
  <c r="AC48" i="5"/>
  <c r="AC49" i="5"/>
  <c r="AC50" i="5"/>
  <c r="AC51" i="5"/>
  <c r="AC52" i="5"/>
  <c r="AC53" i="5"/>
  <c r="AC54" i="5"/>
  <c r="AC56" i="5"/>
  <c r="AC57" i="5"/>
  <c r="AC59" i="5"/>
  <c r="AC60" i="5"/>
  <c r="AC61" i="5"/>
  <c r="AC62" i="5"/>
  <c r="AC63" i="5"/>
  <c r="AC64" i="5"/>
  <c r="AC65" i="5"/>
  <c r="AC66" i="5"/>
  <c r="AC67" i="5"/>
  <c r="AC68" i="5"/>
  <c r="AC69" i="5"/>
  <c r="AC70" i="5"/>
  <c r="AC71" i="5"/>
  <c r="AC73" i="5"/>
  <c r="AC74" i="5"/>
  <c r="AC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2" i="5"/>
  <c r="AB23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9" i="5"/>
  <c r="AB40" i="5"/>
  <c r="AB42" i="5"/>
  <c r="AB43" i="5"/>
  <c r="AB44" i="5"/>
  <c r="AB45" i="5"/>
  <c r="AB46" i="5"/>
  <c r="AB47" i="5"/>
  <c r="AB48" i="5"/>
  <c r="AB49" i="5"/>
  <c r="AB50" i="5"/>
  <c r="AB51" i="5"/>
  <c r="AB52" i="5"/>
  <c r="AB53" i="5"/>
  <c r="AB54" i="5"/>
  <c r="AB56" i="5"/>
  <c r="AB57" i="5"/>
  <c r="AB59" i="5"/>
  <c r="AB60" i="5"/>
  <c r="AB61" i="5"/>
  <c r="AB62" i="5"/>
  <c r="AB63" i="5"/>
  <c r="AB64" i="5"/>
  <c r="AB65" i="5"/>
  <c r="AB66" i="5"/>
  <c r="AB67" i="5"/>
  <c r="AB68" i="5"/>
  <c r="AB69" i="5"/>
  <c r="AB70" i="5"/>
  <c r="AB71" i="5"/>
  <c r="AB73" i="5"/>
  <c r="AB74" i="5"/>
  <c r="AB8" i="5"/>
  <c r="AA18" i="5"/>
  <c r="AA19" i="5"/>
  <c r="AA20" i="5"/>
  <c r="AA22" i="5"/>
  <c r="AA23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9" i="5"/>
  <c r="AA40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6" i="5"/>
  <c r="AA57" i="5"/>
  <c r="AA59" i="5"/>
  <c r="AA60" i="5"/>
  <c r="AA61" i="5"/>
  <c r="AA62" i="5"/>
  <c r="AA63" i="5"/>
  <c r="AA64" i="5"/>
  <c r="AA65" i="5"/>
  <c r="AA66" i="5"/>
  <c r="AA67" i="5"/>
  <c r="AA68" i="5"/>
  <c r="AA69" i="5"/>
  <c r="AA70" i="5"/>
  <c r="AA71" i="5"/>
  <c r="AA73" i="5"/>
  <c r="AA74" i="5"/>
  <c r="AA9" i="5"/>
  <c r="AA10" i="5"/>
  <c r="AA11" i="5"/>
  <c r="AA12" i="5"/>
  <c r="AA13" i="5"/>
  <c r="AA14" i="5"/>
  <c r="AA15" i="5"/>
  <c r="AA16" i="5"/>
  <c r="AA17" i="5"/>
  <c r="AA8" i="5"/>
  <c r="X31" i="7"/>
  <c r="AI18" i="5"/>
  <c r="AJ18" i="5"/>
  <c r="AK18" i="5"/>
  <c r="AL18" i="5"/>
  <c r="AM18" i="5"/>
  <c r="BD18" i="5" s="1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AH18" i="5"/>
  <c r="BB18" i="5" s="1"/>
  <c r="AI69" i="5"/>
  <c r="AJ69" i="5"/>
  <c r="AK69" i="5"/>
  <c r="AL69" i="5"/>
  <c r="AM69" i="5"/>
  <c r="AN69" i="5"/>
  <c r="BC69" i="5" s="1"/>
  <c r="AO69" i="5"/>
  <c r="AP69" i="5"/>
  <c r="BB69" i="5" s="1"/>
  <c r="AQ69" i="5"/>
  <c r="AR69" i="5"/>
  <c r="AS69" i="5"/>
  <c r="AT69" i="5"/>
  <c r="AU69" i="5"/>
  <c r="AV69" i="5"/>
  <c r="AW69" i="5"/>
  <c r="AX69" i="5"/>
  <c r="AY69" i="5"/>
  <c r="AZ69" i="5"/>
  <c r="BA69" i="5"/>
  <c r="AH69" i="5"/>
  <c r="AI35" i="5"/>
  <c r="BB35" i="5" s="1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AZ35" i="5"/>
  <c r="BA35" i="5"/>
  <c r="AH35" i="5"/>
  <c r="BC35" i="5" s="1"/>
  <c r="AI52" i="5"/>
  <c r="AJ52" i="5"/>
  <c r="AK52" i="5"/>
  <c r="AL52" i="5"/>
  <c r="AM52" i="5"/>
  <c r="AN52" i="5"/>
  <c r="BC52" i="5" s="1"/>
  <c r="AO52" i="5"/>
  <c r="AQ52" i="5"/>
  <c r="AR52" i="5"/>
  <c r="AS52" i="5"/>
  <c r="AT52" i="5"/>
  <c r="AU52" i="5"/>
  <c r="AV52" i="5"/>
  <c r="AW52" i="5"/>
  <c r="AX52" i="5"/>
  <c r="AY52" i="5"/>
  <c r="AZ52" i="5"/>
  <c r="BA52" i="5"/>
  <c r="AH52" i="5"/>
  <c r="BB52" i="5" s="1"/>
  <c r="X45" i="7"/>
  <c r="X23" i="7"/>
  <c r="X24" i="7"/>
  <c r="X25" i="7"/>
  <c r="X26" i="7"/>
  <c r="X27" i="7"/>
  <c r="X28" i="7"/>
  <c r="X29" i="7"/>
  <c r="X30" i="7"/>
  <c r="X39" i="7"/>
  <c r="X40" i="7"/>
  <c r="X41" i="7"/>
  <c r="X42" i="7"/>
  <c r="X43" i="7"/>
  <c r="X44" i="7"/>
  <c r="X46" i="7"/>
  <c r="X47" i="7"/>
  <c r="X56" i="7"/>
  <c r="X57" i="7"/>
  <c r="X58" i="7"/>
  <c r="X59" i="7"/>
  <c r="X60" i="7"/>
  <c r="X61" i="7"/>
  <c r="X62" i="7"/>
  <c r="X63" i="7"/>
  <c r="X64" i="7"/>
  <c r="X73" i="7"/>
  <c r="X74" i="7"/>
  <c r="X75" i="7"/>
  <c r="X76" i="7"/>
  <c r="X77" i="7"/>
  <c r="X78" i="7"/>
  <c r="X79" i="7"/>
  <c r="X80" i="7"/>
  <c r="X81" i="7"/>
  <c r="X22" i="7"/>
  <c r="AI14" i="6"/>
  <c r="AI12" i="6"/>
  <c r="AI10" i="6"/>
  <c r="AI8" i="6"/>
  <c r="AI6" i="6"/>
  <c r="AG65" i="6"/>
  <c r="AG63" i="6"/>
  <c r="AG61" i="6"/>
  <c r="AG59" i="6"/>
  <c r="AG57" i="6"/>
  <c r="AG14" i="6"/>
  <c r="AG10" i="6"/>
  <c r="AG8" i="6"/>
  <c r="AG6" i="6"/>
  <c r="X25" i="6"/>
  <c r="X26" i="6"/>
  <c r="X27" i="6"/>
  <c r="X28" i="6"/>
  <c r="X29" i="6"/>
  <c r="X30" i="6"/>
  <c r="X31" i="6"/>
  <c r="X32" i="6"/>
  <c r="X24" i="6"/>
  <c r="X8" i="6"/>
  <c r="X9" i="6"/>
  <c r="X10" i="6"/>
  <c r="X11" i="6"/>
  <c r="X12" i="6"/>
  <c r="X13" i="6"/>
  <c r="X14" i="6"/>
  <c r="X15" i="6"/>
  <c r="X7" i="6"/>
  <c r="Z52" i="5"/>
  <c r="Z69" i="5"/>
  <c r="AI60" i="5"/>
  <c r="BC60" i="5" s="1"/>
  <c r="AJ60" i="5"/>
  <c r="AK60" i="5"/>
  <c r="AL60" i="5"/>
  <c r="AM60" i="5"/>
  <c r="AN60" i="5"/>
  <c r="AO60" i="5"/>
  <c r="AP60" i="5"/>
  <c r="AQ60" i="5"/>
  <c r="AR60" i="5"/>
  <c r="AS60" i="5"/>
  <c r="AT60" i="5"/>
  <c r="AU60" i="5"/>
  <c r="AV60" i="5"/>
  <c r="AW60" i="5"/>
  <c r="AX60" i="5"/>
  <c r="AY60" i="5"/>
  <c r="AZ60" i="5"/>
  <c r="BA60" i="5"/>
  <c r="AI61" i="5"/>
  <c r="AJ61" i="5"/>
  <c r="AK61" i="5"/>
  <c r="AL61" i="5"/>
  <c r="BC61" i="5" s="1"/>
  <c r="AM61" i="5"/>
  <c r="AN61" i="5"/>
  <c r="AO61" i="5"/>
  <c r="AP61" i="5"/>
  <c r="AQ61" i="5"/>
  <c r="AR61" i="5"/>
  <c r="AS61" i="5"/>
  <c r="AT61" i="5"/>
  <c r="AU61" i="5"/>
  <c r="AV61" i="5"/>
  <c r="AW61" i="5"/>
  <c r="AX61" i="5"/>
  <c r="AY61" i="5"/>
  <c r="AZ61" i="5"/>
  <c r="BA61" i="5"/>
  <c r="AI62" i="5"/>
  <c r="AJ62" i="5"/>
  <c r="BC62" i="5" s="1"/>
  <c r="AK62" i="5"/>
  <c r="AL62" i="5"/>
  <c r="AM62" i="5"/>
  <c r="AN62" i="5"/>
  <c r="AO62" i="5"/>
  <c r="AP62" i="5"/>
  <c r="AQ62" i="5"/>
  <c r="AR62" i="5"/>
  <c r="AS62" i="5"/>
  <c r="AT62" i="5"/>
  <c r="AU62" i="5"/>
  <c r="AV62" i="5"/>
  <c r="AW62" i="5"/>
  <c r="AX62" i="5"/>
  <c r="AY62" i="5"/>
  <c r="AZ62" i="5"/>
  <c r="BA62" i="5"/>
  <c r="AI63" i="5"/>
  <c r="AJ63" i="5"/>
  <c r="AK63" i="5"/>
  <c r="AL63" i="5"/>
  <c r="AM63" i="5"/>
  <c r="AN63" i="5"/>
  <c r="AO63" i="5"/>
  <c r="AP63" i="5"/>
  <c r="AQ63" i="5"/>
  <c r="AR63" i="5"/>
  <c r="AS63" i="5"/>
  <c r="AT63" i="5"/>
  <c r="AU63" i="5"/>
  <c r="AV63" i="5"/>
  <c r="AW63" i="5"/>
  <c r="AX63" i="5"/>
  <c r="AY63" i="5"/>
  <c r="AZ63" i="5"/>
  <c r="BA63" i="5"/>
  <c r="AI64" i="5"/>
  <c r="AJ64" i="5"/>
  <c r="AK64" i="5"/>
  <c r="AL64" i="5"/>
  <c r="AM64" i="5"/>
  <c r="AN64" i="5"/>
  <c r="AO64" i="5"/>
  <c r="AP64" i="5"/>
  <c r="AQ64" i="5"/>
  <c r="AR64" i="5"/>
  <c r="AS64" i="5"/>
  <c r="AT64" i="5"/>
  <c r="AU64" i="5"/>
  <c r="AV64" i="5"/>
  <c r="AW64" i="5"/>
  <c r="AX64" i="5"/>
  <c r="AY64" i="5"/>
  <c r="AZ64" i="5"/>
  <c r="BA64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AI66" i="5"/>
  <c r="AJ66" i="5"/>
  <c r="AK66" i="5"/>
  <c r="AL66" i="5"/>
  <c r="AM66" i="5"/>
  <c r="AN66" i="5"/>
  <c r="BB66" i="5" s="1"/>
  <c r="AO66" i="5"/>
  <c r="AP66" i="5"/>
  <c r="AQ66" i="5"/>
  <c r="AR66" i="5"/>
  <c r="AS66" i="5"/>
  <c r="AT66" i="5"/>
  <c r="AU66" i="5"/>
  <c r="AV66" i="5"/>
  <c r="AW66" i="5"/>
  <c r="AX66" i="5"/>
  <c r="AY66" i="5"/>
  <c r="AZ66" i="5"/>
  <c r="BA66" i="5"/>
  <c r="AI67" i="5"/>
  <c r="AJ67" i="5"/>
  <c r="AK67" i="5"/>
  <c r="AL67" i="5"/>
  <c r="BB67" i="5" s="1"/>
  <c r="AM67" i="5"/>
  <c r="AN67" i="5"/>
  <c r="AO67" i="5"/>
  <c r="AP67" i="5"/>
  <c r="AQ67" i="5"/>
  <c r="AR67" i="5"/>
  <c r="AS67" i="5"/>
  <c r="AT67" i="5"/>
  <c r="AU67" i="5"/>
  <c r="AV67" i="5"/>
  <c r="AW67" i="5"/>
  <c r="AX67" i="5"/>
  <c r="AY67" i="5"/>
  <c r="AZ67" i="5"/>
  <c r="BA67" i="5"/>
  <c r="AI68" i="5"/>
  <c r="AJ68" i="5"/>
  <c r="AK68" i="5"/>
  <c r="AL68" i="5"/>
  <c r="AM68" i="5"/>
  <c r="AN68" i="5"/>
  <c r="AO68" i="5"/>
  <c r="AP68" i="5"/>
  <c r="AQ68" i="5"/>
  <c r="AR68" i="5"/>
  <c r="AS68" i="5"/>
  <c r="AT68" i="5"/>
  <c r="AU68" i="5"/>
  <c r="AV68" i="5"/>
  <c r="AW68" i="5"/>
  <c r="AX68" i="5"/>
  <c r="AY68" i="5"/>
  <c r="AZ68" i="5"/>
  <c r="BA68" i="5"/>
  <c r="AI43" i="5"/>
  <c r="AJ43" i="5"/>
  <c r="AK43" i="5"/>
  <c r="AL43" i="5"/>
  <c r="AM43" i="5"/>
  <c r="AN43" i="5"/>
  <c r="AO43" i="5"/>
  <c r="AQ43" i="5"/>
  <c r="AR43" i="5"/>
  <c r="AS43" i="5"/>
  <c r="AT43" i="5"/>
  <c r="AU43" i="5"/>
  <c r="AV43" i="5"/>
  <c r="AW43" i="5"/>
  <c r="AX43" i="5"/>
  <c r="AY43" i="5"/>
  <c r="AZ43" i="5"/>
  <c r="BA43" i="5"/>
  <c r="AI44" i="5"/>
  <c r="AJ44" i="5"/>
  <c r="AK44" i="5"/>
  <c r="AL44" i="5"/>
  <c r="BC44" i="5" s="1"/>
  <c r="AM44" i="5"/>
  <c r="AN44" i="5"/>
  <c r="AO44" i="5"/>
  <c r="AQ44" i="5"/>
  <c r="AR44" i="5"/>
  <c r="AS44" i="5"/>
  <c r="AT44" i="5"/>
  <c r="AU44" i="5"/>
  <c r="AV44" i="5"/>
  <c r="AW44" i="5"/>
  <c r="AX44" i="5"/>
  <c r="AY44" i="5"/>
  <c r="AZ44" i="5"/>
  <c r="BA44" i="5"/>
  <c r="AI45" i="5"/>
  <c r="AJ45" i="5"/>
  <c r="AK45" i="5"/>
  <c r="AL45" i="5"/>
  <c r="AM45" i="5"/>
  <c r="AN45" i="5"/>
  <c r="AO45" i="5"/>
  <c r="AQ45" i="5"/>
  <c r="AR45" i="5"/>
  <c r="AS45" i="5"/>
  <c r="AT45" i="5"/>
  <c r="AU45" i="5"/>
  <c r="AV45" i="5"/>
  <c r="AW45" i="5"/>
  <c r="AX45" i="5"/>
  <c r="AY45" i="5"/>
  <c r="AZ45" i="5"/>
  <c r="BA45" i="5"/>
  <c r="AI46" i="5"/>
  <c r="AJ46" i="5"/>
  <c r="AK46" i="5"/>
  <c r="AL46" i="5"/>
  <c r="AM46" i="5"/>
  <c r="AN46" i="5"/>
  <c r="AO46" i="5"/>
  <c r="AQ46" i="5"/>
  <c r="AR46" i="5"/>
  <c r="AS46" i="5"/>
  <c r="AT46" i="5"/>
  <c r="AU46" i="5"/>
  <c r="AV46" i="5"/>
  <c r="AW46" i="5"/>
  <c r="AX46" i="5"/>
  <c r="AY46" i="5"/>
  <c r="AZ46" i="5"/>
  <c r="BA46" i="5"/>
  <c r="AI47" i="5"/>
  <c r="AJ47" i="5"/>
  <c r="AK47" i="5"/>
  <c r="AL47" i="5"/>
  <c r="AM47" i="5"/>
  <c r="AN47" i="5"/>
  <c r="AO47" i="5"/>
  <c r="AQ47" i="5"/>
  <c r="AR47" i="5"/>
  <c r="AS47" i="5"/>
  <c r="AT47" i="5"/>
  <c r="AU47" i="5"/>
  <c r="AV47" i="5"/>
  <c r="AW47" i="5"/>
  <c r="AX47" i="5"/>
  <c r="AY47" i="5"/>
  <c r="AZ47" i="5"/>
  <c r="BA47" i="5"/>
  <c r="AI48" i="5"/>
  <c r="AJ48" i="5"/>
  <c r="AK48" i="5"/>
  <c r="AL48" i="5"/>
  <c r="AM48" i="5"/>
  <c r="AN48" i="5"/>
  <c r="AO48" i="5"/>
  <c r="AQ48" i="5"/>
  <c r="AR48" i="5"/>
  <c r="AS48" i="5"/>
  <c r="AT48" i="5"/>
  <c r="AU48" i="5"/>
  <c r="AV48" i="5"/>
  <c r="AW48" i="5"/>
  <c r="AX48" i="5"/>
  <c r="AY48" i="5"/>
  <c r="AZ48" i="5"/>
  <c r="BA48" i="5"/>
  <c r="AI49" i="5"/>
  <c r="AJ49" i="5"/>
  <c r="BB49" i="5" s="1"/>
  <c r="AK49" i="5"/>
  <c r="AL49" i="5"/>
  <c r="AM49" i="5"/>
  <c r="AN49" i="5"/>
  <c r="AO49" i="5"/>
  <c r="AQ49" i="5"/>
  <c r="AR49" i="5"/>
  <c r="AS49" i="5"/>
  <c r="AT49" i="5"/>
  <c r="AU49" i="5"/>
  <c r="AV49" i="5"/>
  <c r="AW49" i="5"/>
  <c r="AX49" i="5"/>
  <c r="AY49" i="5"/>
  <c r="AZ49" i="5"/>
  <c r="BA49" i="5"/>
  <c r="AI50" i="5"/>
  <c r="AJ50" i="5"/>
  <c r="AK50" i="5"/>
  <c r="AL50" i="5"/>
  <c r="AM50" i="5"/>
  <c r="AN50" i="5"/>
  <c r="BC50" i="5" s="1"/>
  <c r="AO50" i="5"/>
  <c r="AQ50" i="5"/>
  <c r="AR50" i="5"/>
  <c r="AS50" i="5"/>
  <c r="AT50" i="5"/>
  <c r="AU50" i="5"/>
  <c r="AV50" i="5"/>
  <c r="AW50" i="5"/>
  <c r="AX50" i="5"/>
  <c r="AY50" i="5"/>
  <c r="AZ50" i="5"/>
  <c r="BA50" i="5"/>
  <c r="AI51" i="5"/>
  <c r="AJ51" i="5"/>
  <c r="AK51" i="5"/>
  <c r="AL51" i="5"/>
  <c r="AM51" i="5"/>
  <c r="BC51" i="5" s="1"/>
  <c r="AN51" i="5"/>
  <c r="AO51" i="5"/>
  <c r="AQ51" i="5"/>
  <c r="AR51" i="5"/>
  <c r="AS51" i="5"/>
  <c r="AT51" i="5"/>
  <c r="AU51" i="5"/>
  <c r="AV51" i="5"/>
  <c r="AW51" i="5"/>
  <c r="AX51" i="5"/>
  <c r="AY51" i="5"/>
  <c r="AZ51" i="5"/>
  <c r="BA51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AI29" i="5"/>
  <c r="BB29" i="5" s="1"/>
  <c r="AJ29" i="5"/>
  <c r="AK29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AI30" i="5"/>
  <c r="AJ30" i="5"/>
  <c r="AK30" i="5"/>
  <c r="AL30" i="5"/>
  <c r="AM30" i="5"/>
  <c r="AN30" i="5"/>
  <c r="AO30" i="5"/>
  <c r="BB30" i="5" s="1"/>
  <c r="AP30" i="5"/>
  <c r="AQ30" i="5"/>
  <c r="AR30" i="5"/>
  <c r="AS30" i="5"/>
  <c r="AT30" i="5"/>
  <c r="AU30" i="5"/>
  <c r="AV30" i="5"/>
  <c r="AW30" i="5"/>
  <c r="AX30" i="5"/>
  <c r="AY30" i="5"/>
  <c r="AZ30" i="5"/>
  <c r="BA30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AZ31" i="5"/>
  <c r="BA31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AI33" i="5"/>
  <c r="AJ33" i="5"/>
  <c r="AK33" i="5"/>
  <c r="AL33" i="5"/>
  <c r="AM33" i="5"/>
  <c r="AN33" i="5"/>
  <c r="AO33" i="5"/>
  <c r="BC33" i="5" s="1"/>
  <c r="AP33" i="5"/>
  <c r="AQ33" i="5"/>
  <c r="AR33" i="5"/>
  <c r="AS33" i="5"/>
  <c r="AT33" i="5"/>
  <c r="AU33" i="5"/>
  <c r="AV33" i="5"/>
  <c r="AW33" i="5"/>
  <c r="AX33" i="5"/>
  <c r="AY33" i="5"/>
  <c r="AZ33" i="5"/>
  <c r="BA33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AI10" i="5"/>
  <c r="AJ10" i="5"/>
  <c r="AK10" i="5"/>
  <c r="AL10" i="5"/>
  <c r="AM10" i="5"/>
  <c r="AN10" i="5"/>
  <c r="BD10" i="5" s="1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AI13" i="5"/>
  <c r="AJ13" i="5"/>
  <c r="AK13" i="5"/>
  <c r="AL13" i="5"/>
  <c r="BC13" i="5" s="1"/>
  <c r="BE13" i="5" s="1"/>
  <c r="AM13" i="5"/>
  <c r="BB13" i="5" s="1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AI14" i="5"/>
  <c r="AJ14" i="5"/>
  <c r="BC14" i="5" s="1"/>
  <c r="BE14" i="5" s="1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AI17" i="5"/>
  <c r="BD17" i="5" s="1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AH68" i="5"/>
  <c r="BB68" i="5" s="1"/>
  <c r="AH67" i="5"/>
  <c r="BC67" i="5" s="1"/>
  <c r="AH66" i="5"/>
  <c r="BC66" i="5" s="1"/>
  <c r="AH65" i="5"/>
  <c r="BC65" i="5" s="1"/>
  <c r="AH64" i="5"/>
  <c r="BC64" i="5" s="1"/>
  <c r="AH63" i="5"/>
  <c r="BB63" i="5" s="1"/>
  <c r="AH62" i="5"/>
  <c r="BB62" i="5" s="1"/>
  <c r="AH61" i="5"/>
  <c r="BB61" i="5" s="1"/>
  <c r="AH60" i="5"/>
  <c r="BB60" i="5" s="1"/>
  <c r="AH51" i="5"/>
  <c r="BB51" i="5" s="1"/>
  <c r="AH50" i="5"/>
  <c r="BB50" i="5" s="1"/>
  <c r="AH49" i="5"/>
  <c r="BC49" i="5" s="1"/>
  <c r="AH48" i="5"/>
  <c r="BC48" i="5" s="1"/>
  <c r="AH47" i="5"/>
  <c r="BC47" i="5" s="1"/>
  <c r="AH46" i="5"/>
  <c r="BC46" i="5" s="1"/>
  <c r="AH45" i="5"/>
  <c r="BC45" i="5" s="1"/>
  <c r="AH44" i="5"/>
  <c r="BB44" i="5" s="1"/>
  <c r="AH43" i="5"/>
  <c r="BC43" i="5" s="1"/>
  <c r="AH34" i="5"/>
  <c r="BC34" i="5" s="1"/>
  <c r="AH33" i="5"/>
  <c r="BB33" i="5" s="1"/>
  <c r="AH32" i="5"/>
  <c r="BB32" i="5" s="1"/>
  <c r="AH31" i="5"/>
  <c r="BC31" i="5" s="1"/>
  <c r="AH30" i="5"/>
  <c r="BC30" i="5" s="1"/>
  <c r="AH29" i="5"/>
  <c r="BC29" i="5" s="1"/>
  <c r="AH28" i="5"/>
  <c r="BC28" i="5" s="1"/>
  <c r="AH27" i="5"/>
  <c r="BC27" i="5" s="1"/>
  <c r="AH26" i="5"/>
  <c r="BC26" i="5" s="1"/>
  <c r="AH16" i="5"/>
  <c r="BD16" i="5" s="1"/>
  <c r="AH14" i="5"/>
  <c r="BB14" i="5" s="1"/>
  <c r="AH12" i="5"/>
  <c r="BC12" i="5" s="1"/>
  <c r="BE12" i="5" s="1"/>
  <c r="AH10" i="5"/>
  <c r="BC10" i="5" s="1"/>
  <c r="BE10" i="5" s="1"/>
  <c r="AH9" i="5"/>
  <c r="BD9" i="5" s="1"/>
  <c r="AH17" i="5"/>
  <c r="BC17" i="5" s="1"/>
  <c r="BE17" i="5" s="1"/>
  <c r="AH15" i="5"/>
  <c r="BC15" i="5" s="1"/>
  <c r="BE15" i="5" s="1"/>
  <c r="AH13" i="5"/>
  <c r="BD13" i="5" s="1"/>
  <c r="AH11" i="5"/>
  <c r="BD11" i="5" s="1"/>
  <c r="Z35" i="5"/>
  <c r="Z18" i="5"/>
  <c r="Z74" i="5"/>
  <c r="Z73" i="5"/>
  <c r="Z71" i="5"/>
  <c r="Z70" i="5"/>
  <c r="Z68" i="5"/>
  <c r="Z67" i="5"/>
  <c r="Z66" i="5"/>
  <c r="Z65" i="5"/>
  <c r="Z64" i="5"/>
  <c r="Z63" i="5"/>
  <c r="Z62" i="5"/>
  <c r="Z61" i="5"/>
  <c r="Z60" i="5"/>
  <c r="Z59" i="5"/>
  <c r="Z57" i="5"/>
  <c r="Z56" i="5"/>
  <c r="Z54" i="5"/>
  <c r="Z53" i="5"/>
  <c r="Z51" i="5"/>
  <c r="Z50" i="5"/>
  <c r="Z49" i="5"/>
  <c r="Z48" i="5"/>
  <c r="Z47" i="5"/>
  <c r="Z46" i="5"/>
  <c r="Z45" i="5"/>
  <c r="Z44" i="5"/>
  <c r="Z43" i="5"/>
  <c r="Z42" i="5"/>
  <c r="Z40" i="5"/>
  <c r="Z39" i="5"/>
  <c r="Z37" i="5"/>
  <c r="Z36" i="5"/>
  <c r="Z34" i="5"/>
  <c r="Z33" i="5"/>
  <c r="Z32" i="5"/>
  <c r="Z31" i="5"/>
  <c r="Z30" i="5"/>
  <c r="Z29" i="5"/>
  <c r="Z28" i="5"/>
  <c r="Z27" i="5"/>
  <c r="Z26" i="5"/>
  <c r="Z25" i="5"/>
  <c r="Z23" i="5"/>
  <c r="Z22" i="5"/>
  <c r="Z20" i="5"/>
  <c r="Z19" i="5"/>
  <c r="Z17" i="5"/>
  <c r="Z16" i="5"/>
  <c r="Z15" i="5"/>
  <c r="Z14" i="5"/>
  <c r="Z13" i="5"/>
  <c r="Z12" i="5"/>
  <c r="Z11" i="5"/>
  <c r="Z10" i="5"/>
  <c r="Z9" i="5"/>
  <c r="Z8" i="5"/>
  <c r="Z72" i="4"/>
  <c r="Z71" i="4"/>
  <c r="Z69" i="4"/>
  <c r="Z68" i="4"/>
  <c r="Z67" i="4"/>
  <c r="Z66" i="4"/>
  <c r="Z65" i="4"/>
  <c r="Z64" i="4"/>
  <c r="Z63" i="4"/>
  <c r="Z62" i="4"/>
  <c r="Z61" i="4"/>
  <c r="Z60" i="4"/>
  <c r="Z59" i="4"/>
  <c r="Z58" i="4"/>
  <c r="Z56" i="4"/>
  <c r="Z55" i="4"/>
  <c r="Z53" i="4"/>
  <c r="Z52" i="4"/>
  <c r="Z51" i="4"/>
  <c r="Z50" i="4"/>
  <c r="Z49" i="4"/>
  <c r="Z48" i="4"/>
  <c r="Z47" i="4"/>
  <c r="Z46" i="4"/>
  <c r="Z45" i="4"/>
  <c r="Z44" i="4"/>
  <c r="Z43" i="4"/>
  <c r="Z42" i="4"/>
  <c r="Z40" i="4"/>
  <c r="Z39" i="4"/>
  <c r="Z37" i="4"/>
  <c r="Z36" i="4"/>
  <c r="Z35" i="4"/>
  <c r="Z34" i="4"/>
  <c r="Z33" i="4"/>
  <c r="Z32" i="4"/>
  <c r="Z31" i="4"/>
  <c r="Z30" i="4"/>
  <c r="Z29" i="4"/>
  <c r="Z28" i="4"/>
  <c r="Z27" i="4"/>
  <c r="Z26" i="4"/>
  <c r="Z24" i="4"/>
  <c r="Z23" i="4"/>
  <c r="Z21" i="4"/>
  <c r="Z20" i="4"/>
  <c r="Z19" i="4"/>
  <c r="Z18" i="4"/>
  <c r="Z17" i="4"/>
  <c r="Z16" i="4"/>
  <c r="Z15" i="4"/>
  <c r="Z14" i="4"/>
  <c r="Z13" i="4"/>
  <c r="Z12" i="4"/>
  <c r="Z11" i="4"/>
  <c r="Z10" i="4"/>
  <c r="X7" i="2"/>
  <c r="X8" i="2"/>
  <c r="X9" i="2"/>
  <c r="X10" i="2"/>
  <c r="X11" i="2"/>
  <c r="X12" i="2"/>
  <c r="X13" i="2"/>
  <c r="X14" i="2"/>
  <c r="X15" i="2"/>
  <c r="X16" i="2"/>
  <c r="X17" i="2"/>
  <c r="X19" i="2"/>
  <c r="X20" i="2"/>
  <c r="X22" i="2"/>
  <c r="X23" i="2"/>
  <c r="X24" i="2"/>
  <c r="X25" i="2"/>
  <c r="X26" i="2"/>
  <c r="X27" i="2"/>
  <c r="X28" i="2"/>
  <c r="X29" i="2"/>
  <c r="X30" i="2"/>
  <c r="X31" i="2"/>
  <c r="X32" i="2"/>
  <c r="X33" i="2"/>
  <c r="X35" i="2"/>
  <c r="X36" i="2"/>
  <c r="X38" i="2"/>
  <c r="X39" i="2"/>
  <c r="X40" i="2"/>
  <c r="X41" i="2"/>
  <c r="X42" i="2"/>
  <c r="X43" i="2"/>
  <c r="X44" i="2"/>
  <c r="X45" i="2"/>
  <c r="X46" i="2"/>
  <c r="X47" i="2"/>
  <c r="X48" i="2"/>
  <c r="X49" i="2"/>
  <c r="X51" i="2"/>
  <c r="X52" i="2"/>
  <c r="X54" i="2"/>
  <c r="X55" i="2"/>
  <c r="X56" i="2"/>
  <c r="X57" i="2"/>
  <c r="X58" i="2"/>
  <c r="X59" i="2"/>
  <c r="X60" i="2"/>
  <c r="X61" i="2"/>
  <c r="X62" i="2"/>
  <c r="X63" i="2"/>
  <c r="X64" i="2"/>
  <c r="X65" i="2"/>
  <c r="X67" i="2"/>
  <c r="X68" i="2"/>
  <c r="X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38" i="2"/>
  <c r="AV39" i="2"/>
  <c r="AV40" i="2"/>
  <c r="AV41" i="2"/>
  <c r="AV42" i="2"/>
  <c r="AV43" i="2"/>
  <c r="AV44" i="2"/>
  <c r="AV45" i="2"/>
  <c r="AV46" i="2"/>
  <c r="AV47" i="2"/>
  <c r="AV48" i="2"/>
  <c r="AV49" i="2"/>
  <c r="AV50" i="2"/>
  <c r="AV51" i="2"/>
  <c r="AV52" i="2"/>
  <c r="AV53" i="2"/>
  <c r="AV54" i="2"/>
  <c r="AV55" i="2"/>
  <c r="AV56" i="2"/>
  <c r="AV57" i="2"/>
  <c r="AV58" i="2"/>
  <c r="AV59" i="2"/>
  <c r="AV60" i="2"/>
  <c r="AV61" i="2"/>
  <c r="AV62" i="2"/>
  <c r="AV64" i="2"/>
  <c r="AV65" i="2"/>
  <c r="AV66" i="2"/>
  <c r="AV67" i="2"/>
  <c r="AV68" i="2"/>
  <c r="AV6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A12" i="2"/>
  <c r="AB66" i="2"/>
  <c r="AC66" i="2"/>
  <c r="AD66" i="2"/>
  <c r="AE66" i="2"/>
  <c r="AF66" i="2"/>
  <c r="AG66" i="2"/>
  <c r="AH66" i="2"/>
  <c r="AI66" i="2"/>
  <c r="AJ66" i="2"/>
  <c r="AK66" i="2"/>
  <c r="AL66" i="2"/>
  <c r="AM66" i="2"/>
  <c r="AN66" i="2"/>
  <c r="AO66" i="2"/>
  <c r="AP66" i="2"/>
  <c r="AQ66" i="2"/>
  <c r="AR66" i="2"/>
  <c r="AS66" i="2"/>
  <c r="AT66" i="2"/>
  <c r="AA66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R50" i="2"/>
  <c r="AS50" i="2"/>
  <c r="AT50" i="2"/>
  <c r="AA50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AS34" i="2"/>
  <c r="AT34" i="2"/>
  <c r="AA34" i="2"/>
  <c r="Y68" i="2"/>
  <c r="AT68" i="2" s="1"/>
  <c r="Y67" i="2"/>
  <c r="AQ67" i="2" s="1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Y65" i="2"/>
  <c r="Y64" i="2"/>
  <c r="AS64" i="2" s="1"/>
  <c r="Y63" i="2"/>
  <c r="Y62" i="2"/>
  <c r="AQ62" i="2" s="1"/>
  <c r="Y61" i="2"/>
  <c r="Y60" i="2"/>
  <c r="AO60" i="2" s="1"/>
  <c r="Y59" i="2"/>
  <c r="Y58" i="2"/>
  <c r="AM58" i="2" s="1"/>
  <c r="Y57" i="2"/>
  <c r="Y56" i="2"/>
  <c r="AS56" i="2" s="1"/>
  <c r="Y55" i="2"/>
  <c r="Y54" i="2"/>
  <c r="AQ54" i="2" s="1"/>
  <c r="Y53" i="2"/>
  <c r="Y52" i="2"/>
  <c r="AO52" i="2" s="1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A18" i="2"/>
  <c r="Y18" i="2"/>
  <c r="AA17" i="2"/>
  <c r="Y7" i="2"/>
  <c r="Y8" i="2"/>
  <c r="AD8" i="2" s="1"/>
  <c r="Y9" i="2"/>
  <c r="Y10" i="2"/>
  <c r="AE10" i="2" s="1"/>
  <c r="Y11" i="2"/>
  <c r="Y12" i="2"/>
  <c r="Y13" i="2"/>
  <c r="Y14" i="2"/>
  <c r="AG14" i="2" s="1"/>
  <c r="Y15" i="2"/>
  <c r="Y16" i="2"/>
  <c r="AA16" i="2" s="1"/>
  <c r="Y17" i="2"/>
  <c r="Y19" i="2"/>
  <c r="AB19" i="2" s="1"/>
  <c r="Y20" i="2"/>
  <c r="Y21" i="2"/>
  <c r="Y22" i="2"/>
  <c r="AF22" i="2" s="1"/>
  <c r="Y23" i="2"/>
  <c r="Y24" i="2"/>
  <c r="AB24" i="2" s="1"/>
  <c r="Y25" i="2"/>
  <c r="Y26" i="2"/>
  <c r="AI26" i="2" s="1"/>
  <c r="Y27" i="2"/>
  <c r="Y28" i="2"/>
  <c r="AI28" i="2" s="1"/>
  <c r="Y29" i="2"/>
  <c r="Y30" i="2"/>
  <c r="AB30" i="2" s="1"/>
  <c r="Y31" i="2"/>
  <c r="Y32" i="2"/>
  <c r="AF32" i="2" s="1"/>
  <c r="Y33" i="2"/>
  <c r="Y35" i="2"/>
  <c r="Y36" i="2"/>
  <c r="Y37" i="2"/>
  <c r="Y38" i="2"/>
  <c r="AF38" i="2" s="1"/>
  <c r="Y39" i="2"/>
  <c r="Y40" i="2"/>
  <c r="AE40" i="2" s="1"/>
  <c r="Y41" i="2"/>
  <c r="Y42" i="2"/>
  <c r="AB42" i="2" s="1"/>
  <c r="Y43" i="2"/>
  <c r="Y44" i="2"/>
  <c r="AB44" i="2" s="1"/>
  <c r="Y45" i="2"/>
  <c r="Y46" i="2"/>
  <c r="AB46" i="2" s="1"/>
  <c r="Y47" i="2"/>
  <c r="Y48" i="2"/>
  <c r="AE48" i="2" s="1"/>
  <c r="Y49" i="2"/>
  <c r="Y51" i="2"/>
  <c r="AB51" i="2" s="1"/>
  <c r="Y6" i="2"/>
  <c r="AI6" i="2" s="1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D10" i="2"/>
  <c r="AJ10" i="2"/>
  <c r="AK10" i="2"/>
  <c r="AQ10" i="2"/>
  <c r="AT10" i="2"/>
  <c r="AE19" i="2"/>
  <c r="AH19" i="2"/>
  <c r="AI19" i="2"/>
  <c r="AM19" i="2"/>
  <c r="AP19" i="2"/>
  <c r="AQ19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H24" i="2"/>
  <c r="AC26" i="2"/>
  <c r="AF26" i="2"/>
  <c r="AG26" i="2"/>
  <c r="AK26" i="2"/>
  <c r="AN26" i="2"/>
  <c r="AO26" i="2"/>
  <c r="AR26" i="2"/>
  <c r="AS26" i="2"/>
  <c r="AC28" i="2"/>
  <c r="AE28" i="2"/>
  <c r="AF28" i="2"/>
  <c r="AG28" i="2"/>
  <c r="AH28" i="2"/>
  <c r="AJ28" i="2"/>
  <c r="AK28" i="2"/>
  <c r="AL28" i="2"/>
  <c r="AM28" i="2"/>
  <c r="AN28" i="2"/>
  <c r="AO28" i="2"/>
  <c r="AP28" i="2"/>
  <c r="AR28" i="2"/>
  <c r="AS28" i="2"/>
  <c r="AT28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T36" i="2"/>
  <c r="AK38" i="2"/>
  <c r="AG40" i="2"/>
  <c r="AQ40" i="2"/>
  <c r="AI42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Q44" i="2"/>
  <c r="AR44" i="2"/>
  <c r="AS44" i="2"/>
  <c r="AT44" i="2"/>
  <c r="AG46" i="2"/>
  <c r="AQ46" i="2"/>
  <c r="AQ51" i="2"/>
  <c r="AA51" i="2"/>
  <c r="AA46" i="2"/>
  <c r="AA44" i="2"/>
  <c r="AA36" i="2"/>
  <c r="AA35" i="2"/>
  <c r="AA28" i="2"/>
  <c r="AA26" i="2"/>
  <c r="AA20" i="2"/>
  <c r="AA19" i="2"/>
  <c r="AA10" i="2"/>
  <c r="BB31" i="5" l="1"/>
  <c r="BC63" i="5"/>
  <c r="BB11" i="5"/>
  <c r="BB9" i="5"/>
  <c r="BB10" i="5"/>
  <c r="BB28" i="5"/>
  <c r="BB46" i="5"/>
  <c r="BB64" i="5"/>
  <c r="BC9" i="5"/>
  <c r="BE9" i="5" s="1"/>
  <c r="BC11" i="5"/>
  <c r="BE11" i="5" s="1"/>
  <c r="BC68" i="5"/>
  <c r="BD15" i="5"/>
  <c r="BB48" i="5"/>
  <c r="BB47" i="5"/>
  <c r="BB17" i="5"/>
  <c r="BB26" i="5"/>
  <c r="BB27" i="5"/>
  <c r="BB45" i="5"/>
  <c r="BC18" i="5"/>
  <c r="BE18" i="5" s="1"/>
  <c r="BD14" i="5"/>
  <c r="BC32" i="5"/>
  <c r="BB65" i="5"/>
  <c r="BB16" i="5"/>
  <c r="BB34" i="5"/>
  <c r="BB43" i="5"/>
  <c r="BB15" i="5"/>
  <c r="BC16" i="5"/>
  <c r="BE16" i="5" s="1"/>
  <c r="BD12" i="5"/>
  <c r="BB12" i="5"/>
  <c r="AP40" i="2"/>
  <c r="AS48" i="2"/>
  <c r="AO40" i="2"/>
  <c r="AC40" i="2"/>
  <c r="AK54" i="2"/>
  <c r="AL48" i="2"/>
  <c r="AN40" i="2"/>
  <c r="AB40" i="2"/>
  <c r="AA40" i="2"/>
  <c r="AK48" i="2"/>
  <c r="AM40" i="2"/>
  <c r="AB62" i="2"/>
  <c r="AD40" i="2"/>
  <c r="AF48" i="2"/>
  <c r="AT40" i="2"/>
  <c r="AL40" i="2"/>
  <c r="AD62" i="2"/>
  <c r="AI60" i="2"/>
  <c r="AD48" i="2"/>
  <c r="AS40" i="2"/>
  <c r="AK40" i="2"/>
  <c r="AJ62" i="2"/>
  <c r="AT48" i="2"/>
  <c r="AC48" i="2"/>
  <c r="AR40" i="2"/>
  <c r="AJ40" i="2"/>
  <c r="AA52" i="2"/>
  <c r="AB32" i="2"/>
  <c r="AR24" i="2"/>
  <c r="AF24" i="2"/>
  <c r="AI52" i="2"/>
  <c r="AD56" i="2"/>
  <c r="AK62" i="2"/>
  <c r="AA32" i="2"/>
  <c r="AI51" i="2"/>
  <c r="AQ52" i="2"/>
  <c r="AE56" i="2"/>
  <c r="AO16" i="2"/>
  <c r="AF56" i="2"/>
  <c r="AC67" i="2"/>
  <c r="AE16" i="2"/>
  <c r="AI56" i="2"/>
  <c r="AD64" i="2"/>
  <c r="AE67" i="2"/>
  <c r="AT56" i="2"/>
  <c r="AT67" i="2"/>
  <c r="AQ42" i="2"/>
  <c r="AM32" i="2"/>
  <c r="AS54" i="2"/>
  <c r="AC62" i="2"/>
  <c r="AN46" i="2"/>
  <c r="AJ38" i="2"/>
  <c r="AT32" i="2"/>
  <c r="AT64" i="2"/>
  <c r="AI46" i="2"/>
  <c r="AC38" i="2"/>
  <c r="AR32" i="2"/>
  <c r="AR54" i="2"/>
  <c r="AA60" i="2"/>
  <c r="AA64" i="2"/>
  <c r="AD67" i="2"/>
  <c r="AE68" i="2"/>
  <c r="AL32" i="2"/>
  <c r="AJ56" i="2"/>
  <c r="AF58" i="2"/>
  <c r="AQ60" i="2"/>
  <c r="AL62" i="2"/>
  <c r="AE64" i="2"/>
  <c r="AJ67" i="2"/>
  <c r="AF68" i="2"/>
  <c r="AJ32" i="2"/>
  <c r="AB54" i="2"/>
  <c r="AL56" i="2"/>
  <c r="AG58" i="2"/>
  <c r="AR62" i="2"/>
  <c r="AF64" i="2"/>
  <c r="AK67" i="2"/>
  <c r="AG68" i="2"/>
  <c r="AE32" i="2"/>
  <c r="AC54" i="2"/>
  <c r="AA56" i="2"/>
  <c r="AM56" i="2"/>
  <c r="AN58" i="2"/>
  <c r="AS62" i="2"/>
  <c r="AL64" i="2"/>
  <c r="AL67" i="2"/>
  <c r="AM68" i="2"/>
  <c r="AS38" i="2"/>
  <c r="AD32" i="2"/>
  <c r="AG54" i="2"/>
  <c r="AB56" i="2"/>
  <c r="AN56" i="2"/>
  <c r="AO58" i="2"/>
  <c r="AT62" i="2"/>
  <c r="AM64" i="2"/>
  <c r="AR67" i="2"/>
  <c r="AN68" i="2"/>
  <c r="AJ54" i="2"/>
  <c r="AQ56" i="2"/>
  <c r="AN64" i="2"/>
  <c r="AB67" i="2"/>
  <c r="AS67" i="2"/>
  <c r="AO68" i="2"/>
  <c r="AH52" i="2"/>
  <c r="AP52" i="2"/>
  <c r="AH60" i="2"/>
  <c r="AP60" i="2"/>
  <c r="AB52" i="2"/>
  <c r="AJ52" i="2"/>
  <c r="AR52" i="2"/>
  <c r="AD54" i="2"/>
  <c r="AL54" i="2"/>
  <c r="AT54" i="2"/>
  <c r="AH58" i="2"/>
  <c r="AP58" i="2"/>
  <c r="AB60" i="2"/>
  <c r="AJ60" i="2"/>
  <c r="AR60" i="2"/>
  <c r="AC52" i="2"/>
  <c r="AK52" i="2"/>
  <c r="AS52" i="2"/>
  <c r="AE54" i="2"/>
  <c r="AM54" i="2"/>
  <c r="AG56" i="2"/>
  <c r="AO56" i="2"/>
  <c r="AA58" i="2"/>
  <c r="AI58" i="2"/>
  <c r="AQ58" i="2"/>
  <c r="AC60" i="2"/>
  <c r="AK60" i="2"/>
  <c r="AS60" i="2"/>
  <c r="AE62" i="2"/>
  <c r="AM62" i="2"/>
  <c r="AG64" i="2"/>
  <c r="AO64" i="2"/>
  <c r="AM67" i="2"/>
  <c r="AH68" i="2"/>
  <c r="AP68" i="2"/>
  <c r="AD52" i="2"/>
  <c r="AL52" i="2"/>
  <c r="AT52" i="2"/>
  <c r="AF54" i="2"/>
  <c r="AN54" i="2"/>
  <c r="AH56" i="2"/>
  <c r="AP56" i="2"/>
  <c r="AB58" i="2"/>
  <c r="AJ58" i="2"/>
  <c r="AR58" i="2"/>
  <c r="AD60" i="2"/>
  <c r="AL60" i="2"/>
  <c r="AT60" i="2"/>
  <c r="AF62" i="2"/>
  <c r="AN62" i="2"/>
  <c r="AH64" i="2"/>
  <c r="AP64" i="2"/>
  <c r="AF67" i="2"/>
  <c r="AN67" i="2"/>
  <c r="AA68" i="2"/>
  <c r="AI68" i="2"/>
  <c r="AQ68" i="2"/>
  <c r="AE52" i="2"/>
  <c r="AM52" i="2"/>
  <c r="AO54" i="2"/>
  <c r="AC58" i="2"/>
  <c r="AK58" i="2"/>
  <c r="AS58" i="2"/>
  <c r="AE60" i="2"/>
  <c r="AM60" i="2"/>
  <c r="AG62" i="2"/>
  <c r="AO62" i="2"/>
  <c r="AI64" i="2"/>
  <c r="AQ64" i="2"/>
  <c r="AG67" i="2"/>
  <c r="AO67" i="2"/>
  <c r="AB68" i="2"/>
  <c r="AJ68" i="2"/>
  <c r="AR68" i="2"/>
  <c r="AF52" i="2"/>
  <c r="AN52" i="2"/>
  <c r="AH54" i="2"/>
  <c r="AP54" i="2"/>
  <c r="AR56" i="2"/>
  <c r="AD58" i="2"/>
  <c r="AL58" i="2"/>
  <c r="AT58" i="2"/>
  <c r="AF60" i="2"/>
  <c r="AN60" i="2"/>
  <c r="AH62" i="2"/>
  <c r="AP62" i="2"/>
  <c r="AB64" i="2"/>
  <c r="AJ64" i="2"/>
  <c r="AR64" i="2"/>
  <c r="AH67" i="2"/>
  <c r="AP67" i="2"/>
  <c r="AC68" i="2"/>
  <c r="AK68" i="2"/>
  <c r="AS68" i="2"/>
  <c r="AG52" i="2"/>
  <c r="AA54" i="2"/>
  <c r="AI54" i="2"/>
  <c r="AC56" i="2"/>
  <c r="AK56" i="2"/>
  <c r="AE58" i="2"/>
  <c r="AG60" i="2"/>
  <c r="AA62" i="2"/>
  <c r="AI62" i="2"/>
  <c r="AC64" i="2"/>
  <c r="AK64" i="2"/>
  <c r="AA67" i="2"/>
  <c r="AI67" i="2"/>
  <c r="AD68" i="2"/>
  <c r="AL68" i="2"/>
  <c r="AP51" i="2"/>
  <c r="AH51" i="2"/>
  <c r="AP42" i="2"/>
  <c r="AH42" i="2"/>
  <c r="AN16" i="2"/>
  <c r="AD16" i="2"/>
  <c r="AS8" i="2"/>
  <c r="AO51" i="2"/>
  <c r="AG51" i="2"/>
  <c r="AO42" i="2"/>
  <c r="AG42" i="2"/>
  <c r="AS32" i="2"/>
  <c r="AK32" i="2"/>
  <c r="AC32" i="2"/>
  <c r="AM16" i="2"/>
  <c r="AC16" i="2"/>
  <c r="AR8" i="2"/>
  <c r="AQ32" i="2"/>
  <c r="AI32" i="2"/>
  <c r="AQ24" i="2"/>
  <c r="AS16" i="2"/>
  <c r="AK16" i="2"/>
  <c r="AO8" i="2"/>
  <c r="AF51" i="2"/>
  <c r="AN42" i="2"/>
  <c r="AE51" i="2"/>
  <c r="AE42" i="2"/>
  <c r="AA42" i="2"/>
  <c r="AT51" i="2"/>
  <c r="AL51" i="2"/>
  <c r="AD51" i="2"/>
  <c r="AT42" i="2"/>
  <c r="AL42" i="2"/>
  <c r="AD42" i="2"/>
  <c r="AP32" i="2"/>
  <c r="AH32" i="2"/>
  <c r="AP24" i="2"/>
  <c r="AR16" i="2"/>
  <c r="AJ16" i="2"/>
  <c r="AJ8" i="2"/>
  <c r="AA8" i="2"/>
  <c r="AN51" i="2"/>
  <c r="AF42" i="2"/>
  <c r="AT16" i="2"/>
  <c r="AB16" i="2"/>
  <c r="AA24" i="2"/>
  <c r="AS51" i="2"/>
  <c r="AK51" i="2"/>
  <c r="AC51" i="2"/>
  <c r="AS42" i="2"/>
  <c r="AK42" i="2"/>
  <c r="AC42" i="2"/>
  <c r="AO32" i="2"/>
  <c r="AG32" i="2"/>
  <c r="AN24" i="2"/>
  <c r="AQ16" i="2"/>
  <c r="AH16" i="2"/>
  <c r="AH8" i="2"/>
  <c r="AL16" i="2"/>
  <c r="AP8" i="2"/>
  <c r="AM51" i="2"/>
  <c r="AM42" i="2"/>
  <c r="AR51" i="2"/>
  <c r="AJ51" i="2"/>
  <c r="AR42" i="2"/>
  <c r="AJ42" i="2"/>
  <c r="AN32" i="2"/>
  <c r="AI24" i="2"/>
  <c r="AP16" i="2"/>
  <c r="AF16" i="2"/>
  <c r="AG8" i="2"/>
  <c r="AO19" i="2"/>
  <c r="AG19" i="2"/>
  <c r="AS10" i="2"/>
  <c r="AH10" i="2"/>
  <c r="AG30" i="2"/>
  <c r="AN19" i="2"/>
  <c r="AF19" i="2"/>
  <c r="AR10" i="2"/>
  <c r="AG10" i="2"/>
  <c r="AA30" i="2"/>
  <c r="AT19" i="2"/>
  <c r="AL19" i="2"/>
  <c r="AD19" i="2"/>
  <c r="AP10" i="2"/>
  <c r="AC10" i="2"/>
  <c r="AS19" i="2"/>
  <c r="AK19" i="2"/>
  <c r="AC19" i="2"/>
  <c r="AO10" i="2"/>
  <c r="AB10" i="2"/>
  <c r="AR19" i="2"/>
  <c r="AJ19" i="2"/>
  <c r="AL10" i="2"/>
  <c r="AC8" i="2"/>
  <c r="AB8" i="2"/>
  <c r="AK8" i="2"/>
  <c r="AR48" i="2"/>
  <c r="AJ48" i="2"/>
  <c r="AB48" i="2"/>
  <c r="AQ48" i="2"/>
  <c r="AI48" i="2"/>
  <c r="AA48" i="2"/>
  <c r="AP48" i="2"/>
  <c r="AH48" i="2"/>
  <c r="AO48" i="2"/>
  <c r="AG48" i="2"/>
  <c r="AN48" i="2"/>
  <c r="AM48" i="2"/>
  <c r="AO46" i="2"/>
  <c r="AF46" i="2"/>
  <c r="AI40" i="2"/>
  <c r="AH40" i="2"/>
  <c r="AF40" i="2"/>
  <c r="AR38" i="2"/>
  <c r="AM38" i="2"/>
  <c r="AE38" i="2"/>
  <c r="AB38" i="2"/>
  <c r="AO30" i="2"/>
  <c r="AD28" i="2"/>
  <c r="AB28" i="2"/>
  <c r="AQ28" i="2"/>
  <c r="AP26" i="2"/>
  <c r="AH26" i="2"/>
  <c r="AM26" i="2"/>
  <c r="AE26" i="2"/>
  <c r="AT26" i="2"/>
  <c r="AL26" i="2"/>
  <c r="AD26" i="2"/>
  <c r="AJ26" i="2"/>
  <c r="AB26" i="2"/>
  <c r="AQ26" i="2"/>
  <c r="AO24" i="2"/>
  <c r="AG24" i="2"/>
  <c r="AM24" i="2"/>
  <c r="AE24" i="2"/>
  <c r="AT24" i="2"/>
  <c r="AL24" i="2"/>
  <c r="AD24" i="2"/>
  <c r="AS24" i="2"/>
  <c r="AK24" i="2"/>
  <c r="AC24" i="2"/>
  <c r="AJ24" i="2"/>
  <c r="AS22" i="2"/>
  <c r="AK22" i="2"/>
  <c r="AC22" i="2"/>
  <c r="AI16" i="2"/>
  <c r="AG16" i="2"/>
  <c r="AE14" i="2"/>
  <c r="AT14" i="2"/>
  <c r="AL14" i="2"/>
  <c r="AD14" i="2"/>
  <c r="AM14" i="2"/>
  <c r="AS14" i="2"/>
  <c r="AK14" i="2"/>
  <c r="AC14" i="2"/>
  <c r="AB14" i="2"/>
  <c r="AN14" i="2"/>
  <c r="AJ14" i="2"/>
  <c r="AQ14" i="2"/>
  <c r="AI14" i="2"/>
  <c r="AR14" i="2"/>
  <c r="AA14" i="2"/>
  <c r="AP14" i="2"/>
  <c r="AH14" i="2"/>
  <c r="AF14" i="2"/>
  <c r="AO14" i="2"/>
  <c r="AI10" i="2"/>
  <c r="AN10" i="2"/>
  <c r="AF10" i="2"/>
  <c r="AM10" i="2"/>
  <c r="AA6" i="2"/>
  <c r="AP6" i="2"/>
  <c r="AO6" i="2"/>
  <c r="AH6" i="2"/>
  <c r="AG6" i="2"/>
  <c r="AQ30" i="2"/>
  <c r="AI30" i="2"/>
  <c r="AM22" i="2"/>
  <c r="AE22" i="2"/>
  <c r="AP46" i="2"/>
  <c r="AH46" i="2"/>
  <c r="AT38" i="2"/>
  <c r="AL38" i="2"/>
  <c r="AD38" i="2"/>
  <c r="AP30" i="2"/>
  <c r="AH30" i="2"/>
  <c r="AT22" i="2"/>
  <c r="AL22" i="2"/>
  <c r="AD22" i="2"/>
  <c r="AQ8" i="2"/>
  <c r="AI8" i="2"/>
  <c r="AA22" i="2"/>
  <c r="AA38" i="2"/>
  <c r="AM46" i="2"/>
  <c r="AE46" i="2"/>
  <c r="AQ38" i="2"/>
  <c r="AI38" i="2"/>
  <c r="AM30" i="2"/>
  <c r="AE30" i="2"/>
  <c r="AQ22" i="2"/>
  <c r="AI22" i="2"/>
  <c r="AN8" i="2"/>
  <c r="AF8" i="2"/>
  <c r="AF30" i="2"/>
  <c r="AB22" i="2"/>
  <c r="AT46" i="2"/>
  <c r="AL46" i="2"/>
  <c r="AD46" i="2"/>
  <c r="AP38" i="2"/>
  <c r="AH38" i="2"/>
  <c r="AT30" i="2"/>
  <c r="AL30" i="2"/>
  <c r="AD30" i="2"/>
  <c r="AP22" i="2"/>
  <c r="AH22" i="2"/>
  <c r="AM8" i="2"/>
  <c r="AE8" i="2"/>
  <c r="AR22" i="2"/>
  <c r="AS46" i="2"/>
  <c r="AK46" i="2"/>
  <c r="AC46" i="2"/>
  <c r="AO38" i="2"/>
  <c r="AG38" i="2"/>
  <c r="AS30" i="2"/>
  <c r="AK30" i="2"/>
  <c r="AC30" i="2"/>
  <c r="AO22" i="2"/>
  <c r="AG22" i="2"/>
  <c r="AT8" i="2"/>
  <c r="AL8" i="2"/>
  <c r="AN30" i="2"/>
  <c r="AJ22" i="2"/>
  <c r="AR46" i="2"/>
  <c r="AJ46" i="2"/>
  <c r="AN38" i="2"/>
  <c r="AR30" i="2"/>
  <c r="AJ30" i="2"/>
  <c r="AN22" i="2"/>
  <c r="AN6" i="2"/>
  <c r="AF6" i="2"/>
  <c r="AM6" i="2"/>
  <c r="AE6" i="2"/>
  <c r="AD6" i="2"/>
  <c r="AS6" i="2"/>
  <c r="AK6" i="2"/>
  <c r="AC6" i="2"/>
  <c r="AL6" i="2"/>
  <c r="AR6" i="2"/>
  <c r="AJ6" i="2"/>
  <c r="AB6" i="2"/>
  <c r="AT6" i="2"/>
  <c r="AQ6" i="2"/>
</calcChain>
</file>

<file path=xl/sharedStrings.xml><?xml version="1.0" encoding="utf-8"?>
<sst xmlns="http://schemas.openxmlformats.org/spreadsheetml/2006/main" count="1499" uniqueCount="150">
  <si>
    <t>Fachbegriffe</t>
  </si>
  <si>
    <t>Figur A</t>
  </si>
  <si>
    <t>Figur B</t>
  </si>
  <si>
    <t>Anfang</t>
  </si>
  <si>
    <t>Körperteile</t>
  </si>
  <si>
    <t>Verben</t>
  </si>
  <si>
    <t>Adjektive</t>
  </si>
  <si>
    <t>Präposition</t>
  </si>
  <si>
    <t>S1</t>
  </si>
  <si>
    <t>S2</t>
  </si>
  <si>
    <t>S3</t>
  </si>
  <si>
    <t>S4</t>
  </si>
  <si>
    <t>Ende Figur B</t>
  </si>
  <si>
    <t>Ende Figur A</t>
  </si>
  <si>
    <t>falsch verwendete Fachbegriffe</t>
  </si>
  <si>
    <t>falsch verwendete</t>
  </si>
  <si>
    <t>falsch verwendete Körperteile</t>
  </si>
  <si>
    <t>gucken?</t>
  </si>
  <si>
    <t>Anfang A</t>
  </si>
  <si>
    <t>Ende A</t>
  </si>
  <si>
    <t>Text sachlich</t>
  </si>
  <si>
    <t>Text vollständig</t>
  </si>
  <si>
    <t>Text Gliederung logisch</t>
  </si>
  <si>
    <t>Anfang B</t>
  </si>
  <si>
    <t>Ende B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</si>
  <si>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</si>
  <si>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</si>
  <si>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</si>
  <si>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</si>
  <si>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</si>
  <si>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</si>
  <si>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</si>
  <si>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</si>
  <si>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</si>
  <si>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</si>
  <si>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</si>
  <si>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</si>
  <si>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</si>
  <si>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</si>
  <si>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</si>
  <si>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</si>
  <si>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Erwartungshorizont</t>
  </si>
  <si>
    <t>Anzahl Sätze</t>
  </si>
  <si>
    <t>Anzahl Satzbaufehler (später Anteil)</t>
  </si>
  <si>
    <t>S1 Auswertung</t>
  </si>
  <si>
    <t>S2 Auswertung</t>
  </si>
  <si>
    <t>S3 Auswertung</t>
  </si>
  <si>
    <t>S4 Auswertung</t>
  </si>
  <si>
    <t>S5 Auswertung</t>
  </si>
  <si>
    <t>S6 Auswertung</t>
  </si>
  <si>
    <t>S7 Auswertung</t>
  </si>
  <si>
    <t>S8 Auswertung</t>
  </si>
  <si>
    <t>S9 Auswertung</t>
  </si>
  <si>
    <t>S10 Auswertung</t>
  </si>
  <si>
    <t>S11 Auswertung</t>
  </si>
  <si>
    <t>S12 Auswertung</t>
  </si>
  <si>
    <t>S13 Auswertung</t>
  </si>
  <si>
    <t>S14 Auswertung</t>
  </si>
  <si>
    <t>S15 Auswertung</t>
  </si>
  <si>
    <t>S16 Auswertung</t>
  </si>
  <si>
    <t>S17 Auswertung</t>
  </si>
  <si>
    <t>S18 Auswertung</t>
  </si>
  <si>
    <t>S19 Auswertung</t>
  </si>
  <si>
    <t>S20 Auswertung</t>
  </si>
  <si>
    <t>Anf_A_Körperteile</t>
  </si>
  <si>
    <t>Ende_A_Körperteile</t>
  </si>
  <si>
    <t>falsch verwendete/ umgangssprachlich</t>
  </si>
  <si>
    <t xml:space="preserve">sachlich 2; teils 1; nicht 0 </t>
  </si>
  <si>
    <t>wie differenziert ist die Beschreibung?</t>
  </si>
  <si>
    <t>differenziert 3, großteils 2; teils 1; nicht 0</t>
  </si>
  <si>
    <t>sachlich und für die Beschreibung relevant</t>
  </si>
  <si>
    <t>vollständig 3, überwiegend 2 2; teils (kommunikationsabsicht erkennbar) 1; nicht 0</t>
  </si>
  <si>
    <t>Anteil der Satzbaufehler</t>
  </si>
  <si>
    <t>Mittelwert</t>
  </si>
  <si>
    <t>Fachbegrirffe</t>
  </si>
  <si>
    <t>falsch angewendete Fachbegriffe</t>
  </si>
  <si>
    <t xml:space="preserve">Anfang B </t>
  </si>
  <si>
    <t>Varianz und Signifikanz prüfen</t>
  </si>
  <si>
    <t>Anzahl der Wörter</t>
  </si>
  <si>
    <t>Werte Zuordnung</t>
  </si>
  <si>
    <t>0%-10%</t>
  </si>
  <si>
    <t>11%-15%</t>
  </si>
  <si>
    <t>16%-20%</t>
  </si>
  <si>
    <t>&gt;21%</t>
  </si>
  <si>
    <t>Verhältnis Abb. A</t>
  </si>
  <si>
    <t>Verhältnis Abb.B</t>
  </si>
  <si>
    <t>Fachbegriffe A</t>
  </si>
  <si>
    <t>&gt;17%</t>
  </si>
  <si>
    <t>0%-5%</t>
  </si>
  <si>
    <t>&lt;11%</t>
  </si>
  <si>
    <t>&gt;16%</t>
  </si>
  <si>
    <t>&gt;11%</t>
  </si>
  <si>
    <t>&lt;6%</t>
  </si>
  <si>
    <t>&lt;7%</t>
  </si>
  <si>
    <t>0%-3%</t>
  </si>
  <si>
    <t>&gt;9%</t>
  </si>
  <si>
    <t>&gt;6%</t>
  </si>
  <si>
    <t>6%-9%</t>
  </si>
  <si>
    <t>7%-11%</t>
  </si>
  <si>
    <t>11%-17%</t>
  </si>
  <si>
    <t>4%-6%</t>
  </si>
  <si>
    <t>&lt;4%</t>
  </si>
  <si>
    <t>0%-2%</t>
  </si>
  <si>
    <t>? Oder bis 9%...</t>
  </si>
  <si>
    <t>Werte zuordnen</t>
  </si>
  <si>
    <t xml:space="preserve">von 0-100% macht wenig Sinn, daher Tab. 5 </t>
  </si>
  <si>
    <t>Präpositionen</t>
  </si>
  <si>
    <t>diese wurde in Skala eingetragen, Anfang A-Ende A außer Anzahl der falsch verwendeten Präpositionen…</t>
  </si>
  <si>
    <t>Verhältnis gemessen am Erwartungshorizont</t>
  </si>
  <si>
    <t>Erwartete Anzahl der Fachbegriffe etc. im Verhältnis zum zuvor gelehrten Text - Anzahl der Wörter</t>
  </si>
  <si>
    <t>man könnte auch die Skala erstellen anhand des Mittelwertes der SuS… weiß aber nicht ob ich dann die Varianz vorher prüfen müsste…</t>
  </si>
  <si>
    <t>bisher nur Anfang A und Ende A übertragen!!</t>
  </si>
  <si>
    <t>fühlt sich aber willkürlich an….</t>
  </si>
  <si>
    <t>6%-10%</t>
  </si>
  <si>
    <t>&gt;12%</t>
  </si>
  <si>
    <t>0%-4%</t>
  </si>
  <si>
    <t>5%-8%</t>
  </si>
  <si>
    <t>9%-11%</t>
  </si>
  <si>
    <t>&gt;4%</t>
  </si>
  <si>
    <t>0%-1%</t>
  </si>
  <si>
    <t>&gt;8%</t>
  </si>
  <si>
    <t>3%-4%</t>
  </si>
  <si>
    <t>5%-7%</t>
  </si>
  <si>
    <t>???</t>
  </si>
  <si>
    <t>Mittelwert von Tab. 3</t>
  </si>
  <si>
    <t>Zuordnung in Skala der Mittelwerte</t>
  </si>
  <si>
    <t>im Verhältnis zur Anzahl der Wörter</t>
  </si>
  <si>
    <t>nur das ausgezählte; nicht im Verhältnis…</t>
  </si>
  <si>
    <t>Vielleicht lieber Skala von 0-6</t>
  </si>
  <si>
    <t>&gt; dann würden mehr Veränderungen deutlicher werden</t>
  </si>
  <si>
    <t>SD</t>
  </si>
  <si>
    <t>Varianz</t>
  </si>
  <si>
    <t>SD zum Quadrat</t>
  </si>
  <si>
    <t>Variationskoeffizient</t>
  </si>
  <si>
    <t>von Mittelwert aus Tab 3</t>
  </si>
  <si>
    <t>Variable - Anteil der Satzbaufehler kann entnommen werden</t>
  </si>
  <si>
    <t>Normalverteilung; wenn Normal verteilt --&gt; t Test; wenn nicht wilcoxon….</t>
  </si>
  <si>
    <t>Vollständige Sätze</t>
  </si>
  <si>
    <t>Sätze sind alle frei von Satzbaufehlern</t>
  </si>
  <si>
    <t xml:space="preserve">Satzbaufehler werden auf Subjekt, Prädikat, ggf. Objekt reduziert </t>
  </si>
  <si>
    <t>nur wenige Satzbaufehler</t>
  </si>
  <si>
    <t>einige Satzbaufehler</t>
  </si>
  <si>
    <t>sehr viele</t>
  </si>
  <si>
    <t>1?</t>
  </si>
  <si>
    <t>1 Satzbaufehler</t>
  </si>
  <si>
    <t>2 Satzbaufehler</t>
  </si>
  <si>
    <t>3 oder mehr Satzbaufehler</t>
  </si>
  <si>
    <t>2?3?</t>
  </si>
  <si>
    <t>3?</t>
  </si>
  <si>
    <t>2?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</si>
</sst>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2" borderId="0" xfId="0" applyFill="1"/>
    <xf numFmtId="0" fontId="3" fillId="0" borderId="0" xfId="0" applyFont="1"/>
    <xf numFmtId="9" fontId="0" fillId="0" borderId="0" xfId="0" applyNumberFormat="1"/>
    <xf numFmtId="0" fontId="4" fillId="2" borderId="0" xfId="0" applyFont="1" applyFill="1"/>
    <xf numFmtId="0" fontId="5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alles!$Z$6</c:f>
              <c:strCache>
                <c:ptCount val="1"/>
                <c:pt idx="0">
                  <c:v>Fachbegriffe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alles!$AA$5:$AT$5</c:f>
              <c:strCache>
                <c:ptCount val="20"/>
                <c:pt idx="0">
                  <c:v>S1 Auswertung</c:v>
                </c:pt>
                <c:pt idx="1">
                  <c:v>S2 Auswertung</c:v>
                </c:pt>
                <c:pt idx="2">
                  <c:v>S3 Auswertung</c:v>
                </c:pt>
                <c:pt idx="3">
                  <c:v>S4 Auswertung</c:v>
                </c:pt>
                <c:pt idx="4">
                  <c:v>S5 Auswertung</c:v>
                </c:pt>
                <c:pt idx="5">
                  <c:v>S6 Auswertung</c:v>
                </c:pt>
                <c:pt idx="6">
                  <c:v>S7 Auswertung</c:v>
                </c:pt>
                <c:pt idx="7">
                  <c:v>S8 Auswertung</c:v>
                </c:pt>
                <c:pt idx="8">
                  <c:v>S9 Auswertung</c:v>
                </c:pt>
                <c:pt idx="9">
                  <c:v>S10 Auswertung</c:v>
                </c:pt>
                <c:pt idx="10">
                  <c:v>S11 Auswertung</c:v>
                </c:pt>
                <c:pt idx="11">
                  <c:v>S12 Auswertung</c:v>
                </c:pt>
                <c:pt idx="12">
                  <c:v>S13 Auswertung</c:v>
                </c:pt>
                <c:pt idx="13">
                  <c:v>S14 Auswertung</c:v>
                </c:pt>
                <c:pt idx="14">
                  <c:v>S15 Auswertung</c:v>
                </c:pt>
                <c:pt idx="15">
                  <c:v>S16 Auswertung</c:v>
                </c:pt>
                <c:pt idx="16">
                  <c:v>S17 Auswertung</c:v>
                </c:pt>
                <c:pt idx="17">
                  <c:v>S18 Auswertung</c:v>
                </c:pt>
                <c:pt idx="18">
                  <c:v>S19 Auswertung</c:v>
                </c:pt>
                <c:pt idx="19">
                  <c:v>S20 Auswertung</c:v>
                </c:pt>
              </c:strCache>
            </c:strRef>
          </c:cat>
          <c:val>
            <c:numRef>
              <c:f>alles!$AA$6:$AT$6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0.2857142857142857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2A5-9EB6-C25DD57B679F}"/>
            </c:ext>
          </c:extLst>
        </c:ser>
        <c:ser>
          <c:idx val="1"/>
          <c:order val="1"/>
          <c:tx>
            <c:strRef>
              <c:f>alles!$Z$7</c:f>
              <c:strCache>
                <c:ptCount val="1"/>
                <c:pt idx="0">
                  <c:v>falsch verwendete Fachbegriffe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alles!$AA$5:$AT$5</c:f>
              <c:strCache>
                <c:ptCount val="20"/>
                <c:pt idx="0">
                  <c:v>S1 Auswertung</c:v>
                </c:pt>
                <c:pt idx="1">
                  <c:v>S2 Auswertung</c:v>
                </c:pt>
                <c:pt idx="2">
                  <c:v>S3 Auswertung</c:v>
                </c:pt>
                <c:pt idx="3">
                  <c:v>S4 Auswertung</c:v>
                </c:pt>
                <c:pt idx="4">
                  <c:v>S5 Auswertung</c:v>
                </c:pt>
                <c:pt idx="5">
                  <c:v>S6 Auswertung</c:v>
                </c:pt>
                <c:pt idx="6">
                  <c:v>S7 Auswertung</c:v>
                </c:pt>
                <c:pt idx="7">
                  <c:v>S8 Auswertung</c:v>
                </c:pt>
                <c:pt idx="8">
                  <c:v>S9 Auswertung</c:v>
                </c:pt>
                <c:pt idx="9">
                  <c:v>S10 Auswertung</c:v>
                </c:pt>
                <c:pt idx="10">
                  <c:v>S11 Auswertung</c:v>
                </c:pt>
                <c:pt idx="11">
                  <c:v>S12 Auswertung</c:v>
                </c:pt>
                <c:pt idx="12">
                  <c:v>S13 Auswertung</c:v>
                </c:pt>
                <c:pt idx="13">
                  <c:v>S14 Auswertung</c:v>
                </c:pt>
                <c:pt idx="14">
                  <c:v>S15 Auswertung</c:v>
                </c:pt>
                <c:pt idx="15">
                  <c:v>S16 Auswertung</c:v>
                </c:pt>
                <c:pt idx="16">
                  <c:v>S17 Auswertung</c:v>
                </c:pt>
                <c:pt idx="17">
                  <c:v>S18 Auswertung</c:v>
                </c:pt>
                <c:pt idx="18">
                  <c:v>S19 Auswertung</c:v>
                </c:pt>
                <c:pt idx="19">
                  <c:v>S20 Auswertung</c:v>
                </c:pt>
              </c:strCache>
            </c:strRef>
          </c:cat>
          <c:val>
            <c:numRef>
              <c:f>alles!$AA$7:$AT$7</c:f>
              <c:numCache>
                <c:formatCode>General</c:formatCode>
                <c:ptCount val="20"/>
              </c:numCache>
            </c:numRef>
          </c:val>
          <c:extLst>
            <c:ext xmlns:c16="http://schemas.microsoft.com/office/drawing/2014/chart" uri="{C3380CC4-5D6E-409C-BE32-E72D297353CC}">
              <c16:uniqueId val="{00000001-E282-42A5-9EB6-C25DD57B679F}"/>
            </c:ext>
          </c:extLst>
        </c:ser>
        <c:ser>
          <c:idx val="2"/>
          <c:order val="2"/>
          <c:tx>
            <c:strRef>
              <c:f>alles!$Z$8</c:f>
              <c:strCache>
                <c:ptCount val="1"/>
                <c:pt idx="0">
                  <c:v>Körperteile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alles!$AA$5:$AT$5</c:f>
              <c:strCache>
                <c:ptCount val="20"/>
                <c:pt idx="0">
                  <c:v>S1 Auswertung</c:v>
                </c:pt>
                <c:pt idx="1">
                  <c:v>S2 Auswertung</c:v>
                </c:pt>
                <c:pt idx="2">
                  <c:v>S3 Auswertung</c:v>
                </c:pt>
                <c:pt idx="3">
                  <c:v>S4 Auswertung</c:v>
                </c:pt>
                <c:pt idx="4">
                  <c:v>S5 Auswertung</c:v>
                </c:pt>
                <c:pt idx="5">
                  <c:v>S6 Auswertung</c:v>
                </c:pt>
                <c:pt idx="6">
                  <c:v>S7 Auswertung</c:v>
                </c:pt>
                <c:pt idx="7">
                  <c:v>S8 Auswertung</c:v>
                </c:pt>
                <c:pt idx="8">
                  <c:v>S9 Auswertung</c:v>
                </c:pt>
                <c:pt idx="9">
                  <c:v>S10 Auswertung</c:v>
                </c:pt>
                <c:pt idx="10">
                  <c:v>S11 Auswertung</c:v>
                </c:pt>
                <c:pt idx="11">
                  <c:v>S12 Auswertung</c:v>
                </c:pt>
                <c:pt idx="12">
                  <c:v>S13 Auswertung</c:v>
                </c:pt>
                <c:pt idx="13">
                  <c:v>S14 Auswertung</c:v>
                </c:pt>
                <c:pt idx="14">
                  <c:v>S15 Auswertung</c:v>
                </c:pt>
                <c:pt idx="15">
                  <c:v>S16 Auswertung</c:v>
                </c:pt>
                <c:pt idx="16">
                  <c:v>S17 Auswertung</c:v>
                </c:pt>
                <c:pt idx="17">
                  <c:v>S18 Auswertung</c:v>
                </c:pt>
                <c:pt idx="18">
                  <c:v>S19 Auswertung</c:v>
                </c:pt>
                <c:pt idx="19">
                  <c:v>S20 Auswertung</c:v>
                </c:pt>
              </c:strCache>
            </c:strRef>
          </c:cat>
          <c:val>
            <c:numRef>
              <c:f>alles!$AA$8:$AT$8</c:f>
              <c:numCache>
                <c:formatCode>General</c:formatCode>
                <c:ptCount val="20"/>
                <c:pt idx="0">
                  <c:v>0</c:v>
                </c:pt>
                <c:pt idx="1">
                  <c:v>1.5</c:v>
                </c:pt>
                <c:pt idx="2">
                  <c:v>0.75</c:v>
                </c:pt>
                <c:pt idx="3">
                  <c:v>0</c:v>
                </c:pt>
                <c:pt idx="4">
                  <c:v>0.5</c:v>
                </c:pt>
                <c:pt idx="5">
                  <c:v>1</c:v>
                </c:pt>
                <c:pt idx="6">
                  <c:v>0</c:v>
                </c:pt>
                <c:pt idx="7">
                  <c:v>0.25</c:v>
                </c:pt>
                <c:pt idx="8">
                  <c:v>1.5</c:v>
                </c:pt>
                <c:pt idx="9">
                  <c:v>2</c:v>
                </c:pt>
                <c:pt idx="10">
                  <c:v>1.75</c:v>
                </c:pt>
                <c:pt idx="11">
                  <c:v>0</c:v>
                </c:pt>
                <c:pt idx="12">
                  <c:v>0</c:v>
                </c:pt>
                <c:pt idx="13">
                  <c:v>1.75</c:v>
                </c:pt>
                <c:pt idx="14">
                  <c:v>0.5</c:v>
                </c:pt>
                <c:pt idx="15">
                  <c:v>0</c:v>
                </c:pt>
                <c:pt idx="16">
                  <c:v>2</c:v>
                </c:pt>
                <c:pt idx="17">
                  <c:v>0.75</c:v>
                </c:pt>
                <c:pt idx="18">
                  <c:v>1</c:v>
                </c:pt>
                <c:pt idx="19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2A5-9EB6-C25DD57B679F}"/>
            </c:ext>
          </c:extLst>
        </c:ser>
        <c:ser>
          <c:idx val="3"/>
          <c:order val="3"/>
          <c:tx>
            <c:strRef>
              <c:f>alles!$Z$9</c:f>
              <c:strCache>
                <c:ptCount val="1"/>
                <c:pt idx="0">
                  <c:v>falsch verwendete Körperteile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alles!$AA$5:$AT$5</c:f>
              <c:strCache>
                <c:ptCount val="20"/>
                <c:pt idx="0">
                  <c:v>S1 Auswertung</c:v>
                </c:pt>
                <c:pt idx="1">
                  <c:v>S2 Auswertung</c:v>
                </c:pt>
                <c:pt idx="2">
                  <c:v>S3 Auswertung</c:v>
                </c:pt>
                <c:pt idx="3">
                  <c:v>S4 Auswertung</c:v>
                </c:pt>
                <c:pt idx="4">
                  <c:v>S5 Auswertung</c:v>
                </c:pt>
                <c:pt idx="5">
                  <c:v>S6 Auswertung</c:v>
                </c:pt>
                <c:pt idx="6">
                  <c:v>S7 Auswertung</c:v>
                </c:pt>
                <c:pt idx="7">
                  <c:v>S8 Auswertung</c:v>
                </c:pt>
                <c:pt idx="8">
                  <c:v>S9 Auswertung</c:v>
                </c:pt>
                <c:pt idx="9">
                  <c:v>S10 Auswertung</c:v>
                </c:pt>
                <c:pt idx="10">
                  <c:v>S11 Auswertung</c:v>
                </c:pt>
                <c:pt idx="11">
                  <c:v>S12 Auswertung</c:v>
                </c:pt>
                <c:pt idx="12">
                  <c:v>S13 Auswertung</c:v>
                </c:pt>
                <c:pt idx="13">
                  <c:v>S14 Auswertung</c:v>
                </c:pt>
                <c:pt idx="14">
                  <c:v>S15 Auswertung</c:v>
                </c:pt>
                <c:pt idx="15">
                  <c:v>S16 Auswertung</c:v>
                </c:pt>
                <c:pt idx="16">
                  <c:v>S17 Auswertung</c:v>
                </c:pt>
                <c:pt idx="17">
                  <c:v>S18 Auswertung</c:v>
                </c:pt>
                <c:pt idx="18">
                  <c:v>S19 Auswertung</c:v>
                </c:pt>
                <c:pt idx="19">
                  <c:v>S20 Auswertung</c:v>
                </c:pt>
              </c:strCache>
            </c:strRef>
          </c:cat>
          <c:val>
            <c:numRef>
              <c:f>alles!$AA$9:$AT$9</c:f>
              <c:numCache>
                <c:formatCode>General</c:formatCode>
                <c:ptCount val="20"/>
              </c:numCache>
            </c:numRef>
          </c:val>
          <c:extLst>
            <c:ext xmlns:c16="http://schemas.microsoft.com/office/drawing/2014/chart" uri="{C3380CC4-5D6E-409C-BE32-E72D297353CC}">
              <c16:uniqueId val="{00000003-E282-42A5-9EB6-C25DD57B679F}"/>
            </c:ext>
          </c:extLst>
        </c:ser>
        <c:ser>
          <c:idx val="4"/>
          <c:order val="4"/>
          <c:tx>
            <c:strRef>
              <c:f>alles!$Z$10</c:f>
              <c:strCache>
                <c:ptCount val="1"/>
                <c:pt idx="0">
                  <c:v>Verben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alles!$AA$5:$AT$5</c:f>
              <c:strCache>
                <c:ptCount val="20"/>
                <c:pt idx="0">
                  <c:v>S1 Auswertung</c:v>
                </c:pt>
                <c:pt idx="1">
                  <c:v>S2 Auswertung</c:v>
                </c:pt>
                <c:pt idx="2">
                  <c:v>S3 Auswertung</c:v>
                </c:pt>
                <c:pt idx="3">
                  <c:v>S4 Auswertung</c:v>
                </c:pt>
                <c:pt idx="4">
                  <c:v>S5 Auswertung</c:v>
                </c:pt>
                <c:pt idx="5">
                  <c:v>S6 Auswertung</c:v>
                </c:pt>
                <c:pt idx="6">
                  <c:v>S7 Auswertung</c:v>
                </c:pt>
                <c:pt idx="7">
                  <c:v>S8 Auswertung</c:v>
                </c:pt>
                <c:pt idx="8">
                  <c:v>S9 Auswertung</c:v>
                </c:pt>
                <c:pt idx="9">
                  <c:v>S10 Auswertung</c:v>
                </c:pt>
                <c:pt idx="10">
                  <c:v>S11 Auswertung</c:v>
                </c:pt>
                <c:pt idx="11">
                  <c:v>S12 Auswertung</c:v>
                </c:pt>
                <c:pt idx="12">
                  <c:v>S13 Auswertung</c:v>
                </c:pt>
                <c:pt idx="13">
                  <c:v>S14 Auswertung</c:v>
                </c:pt>
                <c:pt idx="14">
                  <c:v>S15 Auswertung</c:v>
                </c:pt>
                <c:pt idx="15">
                  <c:v>S16 Auswertung</c:v>
                </c:pt>
                <c:pt idx="16">
                  <c:v>S17 Auswertung</c:v>
                </c:pt>
                <c:pt idx="17">
                  <c:v>S18 Auswertung</c:v>
                </c:pt>
                <c:pt idx="18">
                  <c:v>S19 Auswertung</c:v>
                </c:pt>
                <c:pt idx="19">
                  <c:v>S20 Auswertung</c:v>
                </c:pt>
              </c:strCache>
            </c:strRef>
          </c:cat>
          <c:val>
            <c:numRef>
              <c:f>alles!$AA$10:$AT$10</c:f>
              <c:numCache>
                <c:formatCode>General</c:formatCode>
                <c:ptCount val="20"/>
                <c:pt idx="0">
                  <c:v>0.66666666666666663</c:v>
                </c:pt>
                <c:pt idx="1">
                  <c:v>1.3333333333333333</c:v>
                </c:pt>
                <c:pt idx="2">
                  <c:v>2.3333333333333335</c:v>
                </c:pt>
                <c:pt idx="3">
                  <c:v>0.66666666666666663</c:v>
                </c:pt>
                <c:pt idx="4">
                  <c:v>0.33333333333333331</c:v>
                </c:pt>
                <c:pt idx="5">
                  <c:v>0</c:v>
                </c:pt>
                <c:pt idx="6">
                  <c:v>0.33333333333333331</c:v>
                </c:pt>
                <c:pt idx="7">
                  <c:v>0.33333333333333331</c:v>
                </c:pt>
                <c:pt idx="8">
                  <c:v>1.3333333333333333</c:v>
                </c:pt>
                <c:pt idx="9">
                  <c:v>1.3333333333333333</c:v>
                </c:pt>
                <c:pt idx="10">
                  <c:v>1</c:v>
                </c:pt>
                <c:pt idx="11">
                  <c:v>1.3333333333333333</c:v>
                </c:pt>
                <c:pt idx="12">
                  <c:v>0.66666666666666663</c:v>
                </c:pt>
                <c:pt idx="13">
                  <c:v>0.33333333333333331</c:v>
                </c:pt>
                <c:pt idx="14">
                  <c:v>1.3333333333333333</c:v>
                </c:pt>
                <c:pt idx="15">
                  <c:v>1.3333333333333333</c:v>
                </c:pt>
                <c:pt idx="16">
                  <c:v>1.3333333333333333</c:v>
                </c:pt>
                <c:pt idx="17">
                  <c:v>1</c:v>
                </c:pt>
                <c:pt idx="18">
                  <c:v>2</c:v>
                </c:pt>
                <c:pt idx="19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2A5-9EB6-C25DD57B679F}"/>
            </c:ext>
          </c:extLst>
        </c:ser>
        <c:ser>
          <c:idx val="5"/>
          <c:order val="5"/>
          <c:tx>
            <c:strRef>
              <c:f>alles!$Z$11</c:f>
              <c:strCache>
                <c:ptCount val="1"/>
                <c:pt idx="0">
                  <c:v>falsch verwendete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alles!$AA$5:$AT$5</c:f>
              <c:strCache>
                <c:ptCount val="20"/>
                <c:pt idx="0">
                  <c:v>S1 Auswertung</c:v>
                </c:pt>
                <c:pt idx="1">
                  <c:v>S2 Auswertung</c:v>
                </c:pt>
                <c:pt idx="2">
                  <c:v>S3 Auswertung</c:v>
                </c:pt>
                <c:pt idx="3">
                  <c:v>S4 Auswertung</c:v>
                </c:pt>
                <c:pt idx="4">
                  <c:v>S5 Auswertung</c:v>
                </c:pt>
                <c:pt idx="5">
                  <c:v>S6 Auswertung</c:v>
                </c:pt>
                <c:pt idx="6">
                  <c:v>S7 Auswertung</c:v>
                </c:pt>
                <c:pt idx="7">
                  <c:v>S8 Auswertung</c:v>
                </c:pt>
                <c:pt idx="8">
                  <c:v>S9 Auswertung</c:v>
                </c:pt>
                <c:pt idx="9">
                  <c:v>S10 Auswertung</c:v>
                </c:pt>
                <c:pt idx="10">
                  <c:v>S11 Auswertung</c:v>
                </c:pt>
                <c:pt idx="11">
                  <c:v>S12 Auswertung</c:v>
                </c:pt>
                <c:pt idx="12">
                  <c:v>S13 Auswertung</c:v>
                </c:pt>
                <c:pt idx="13">
                  <c:v>S14 Auswertung</c:v>
                </c:pt>
                <c:pt idx="14">
                  <c:v>S15 Auswertung</c:v>
                </c:pt>
                <c:pt idx="15">
                  <c:v>S16 Auswertung</c:v>
                </c:pt>
                <c:pt idx="16">
                  <c:v>S17 Auswertung</c:v>
                </c:pt>
                <c:pt idx="17">
                  <c:v>S18 Auswertung</c:v>
                </c:pt>
                <c:pt idx="18">
                  <c:v>S19 Auswertung</c:v>
                </c:pt>
                <c:pt idx="19">
                  <c:v>S20 Auswertung</c:v>
                </c:pt>
              </c:strCache>
            </c:strRef>
          </c:cat>
          <c:val>
            <c:numRef>
              <c:f>alles!$AA$11:$AT$11</c:f>
              <c:numCache>
                <c:formatCode>General</c:formatCode>
                <c:ptCount val="20"/>
              </c:numCache>
            </c:numRef>
          </c:val>
          <c:extLst>
            <c:ext xmlns:c16="http://schemas.microsoft.com/office/drawing/2014/chart" uri="{C3380CC4-5D6E-409C-BE32-E72D297353CC}">
              <c16:uniqueId val="{00000005-E282-42A5-9EB6-C25DD57B679F}"/>
            </c:ext>
          </c:extLst>
        </c:ser>
        <c:ser>
          <c:idx val="6"/>
          <c:order val="6"/>
          <c:tx>
            <c:strRef>
              <c:f>alles!$Z$12</c:f>
              <c:strCache>
                <c:ptCount val="1"/>
                <c:pt idx="0">
                  <c:v>Adjektive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alles!$AA$5:$AT$5</c:f>
              <c:strCache>
                <c:ptCount val="20"/>
                <c:pt idx="0">
                  <c:v>S1 Auswertung</c:v>
                </c:pt>
                <c:pt idx="1">
                  <c:v>S2 Auswertung</c:v>
                </c:pt>
                <c:pt idx="2">
                  <c:v>S3 Auswertung</c:v>
                </c:pt>
                <c:pt idx="3">
                  <c:v>S4 Auswertung</c:v>
                </c:pt>
                <c:pt idx="4">
                  <c:v>S5 Auswertung</c:v>
                </c:pt>
                <c:pt idx="5">
                  <c:v>S6 Auswertung</c:v>
                </c:pt>
                <c:pt idx="6">
                  <c:v>S7 Auswertung</c:v>
                </c:pt>
                <c:pt idx="7">
                  <c:v>S8 Auswertung</c:v>
                </c:pt>
                <c:pt idx="8">
                  <c:v>S9 Auswertung</c:v>
                </c:pt>
                <c:pt idx="9">
                  <c:v>S10 Auswertung</c:v>
                </c:pt>
                <c:pt idx="10">
                  <c:v>S11 Auswertung</c:v>
                </c:pt>
                <c:pt idx="11">
                  <c:v>S12 Auswertung</c:v>
                </c:pt>
                <c:pt idx="12">
                  <c:v>S13 Auswertung</c:v>
                </c:pt>
                <c:pt idx="13">
                  <c:v>S14 Auswertung</c:v>
                </c:pt>
                <c:pt idx="14">
                  <c:v>S15 Auswertung</c:v>
                </c:pt>
                <c:pt idx="15">
                  <c:v>S16 Auswertung</c:v>
                </c:pt>
                <c:pt idx="16">
                  <c:v>S17 Auswertung</c:v>
                </c:pt>
                <c:pt idx="17">
                  <c:v>S18 Auswertung</c:v>
                </c:pt>
                <c:pt idx="18">
                  <c:v>S19 Auswertung</c:v>
                </c:pt>
                <c:pt idx="19">
                  <c:v>S20 Auswertung</c:v>
                </c:pt>
              </c:strCache>
            </c:strRef>
          </c:cat>
          <c:val>
            <c:numRef>
              <c:f>alles!$AA$12:$AT$12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82-42A5-9EB6-C25DD57B679F}"/>
            </c:ext>
          </c:extLst>
        </c:ser>
        <c:ser>
          <c:idx val="7"/>
          <c:order val="7"/>
          <c:tx>
            <c:strRef>
              <c:f>alles!$Z$13</c:f>
              <c:strCache>
                <c:ptCount val="1"/>
                <c:pt idx="0">
                  <c:v>falsch verwendete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alles!$AA$5:$AT$5</c:f>
              <c:strCache>
                <c:ptCount val="20"/>
                <c:pt idx="0">
                  <c:v>S1 Auswertung</c:v>
                </c:pt>
                <c:pt idx="1">
                  <c:v>S2 Auswertung</c:v>
                </c:pt>
                <c:pt idx="2">
                  <c:v>S3 Auswertung</c:v>
                </c:pt>
                <c:pt idx="3">
                  <c:v>S4 Auswertung</c:v>
                </c:pt>
                <c:pt idx="4">
                  <c:v>S5 Auswertung</c:v>
                </c:pt>
                <c:pt idx="5">
                  <c:v>S6 Auswertung</c:v>
                </c:pt>
                <c:pt idx="6">
                  <c:v>S7 Auswertung</c:v>
                </c:pt>
                <c:pt idx="7">
                  <c:v>S8 Auswertung</c:v>
                </c:pt>
                <c:pt idx="8">
                  <c:v>S9 Auswertung</c:v>
                </c:pt>
                <c:pt idx="9">
                  <c:v>S10 Auswertung</c:v>
                </c:pt>
                <c:pt idx="10">
                  <c:v>S11 Auswertung</c:v>
                </c:pt>
                <c:pt idx="11">
                  <c:v>S12 Auswertung</c:v>
                </c:pt>
                <c:pt idx="12">
                  <c:v>S13 Auswertung</c:v>
                </c:pt>
                <c:pt idx="13">
                  <c:v>S14 Auswertung</c:v>
                </c:pt>
                <c:pt idx="14">
                  <c:v>S15 Auswertung</c:v>
                </c:pt>
                <c:pt idx="15">
                  <c:v>S16 Auswertung</c:v>
                </c:pt>
                <c:pt idx="16">
                  <c:v>S17 Auswertung</c:v>
                </c:pt>
                <c:pt idx="17">
                  <c:v>S18 Auswertung</c:v>
                </c:pt>
                <c:pt idx="18">
                  <c:v>S19 Auswertung</c:v>
                </c:pt>
                <c:pt idx="19">
                  <c:v>S20 Auswertung</c:v>
                </c:pt>
              </c:strCache>
            </c:strRef>
          </c:cat>
          <c:val>
            <c:numRef>
              <c:f>alles!$AA$13:$AT$13</c:f>
              <c:numCache>
                <c:formatCode>General</c:formatCode>
                <c:ptCount val="20"/>
              </c:numCache>
            </c:numRef>
          </c:val>
          <c:extLst>
            <c:ext xmlns:c16="http://schemas.microsoft.com/office/drawing/2014/chart" uri="{C3380CC4-5D6E-409C-BE32-E72D297353CC}">
              <c16:uniqueId val="{00000007-E282-42A5-9EB6-C25DD57B679F}"/>
            </c:ext>
          </c:extLst>
        </c:ser>
        <c:ser>
          <c:idx val="8"/>
          <c:order val="8"/>
          <c:tx>
            <c:strRef>
              <c:f>alles!$Z$14</c:f>
              <c:strCache>
                <c:ptCount val="1"/>
                <c:pt idx="0">
                  <c:v>Präposition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alles!$AA$5:$AT$5</c:f>
              <c:strCache>
                <c:ptCount val="20"/>
                <c:pt idx="0">
                  <c:v>S1 Auswertung</c:v>
                </c:pt>
                <c:pt idx="1">
                  <c:v>S2 Auswertung</c:v>
                </c:pt>
                <c:pt idx="2">
                  <c:v>S3 Auswertung</c:v>
                </c:pt>
                <c:pt idx="3">
                  <c:v>S4 Auswertung</c:v>
                </c:pt>
                <c:pt idx="4">
                  <c:v>S5 Auswertung</c:v>
                </c:pt>
                <c:pt idx="5">
                  <c:v>S6 Auswertung</c:v>
                </c:pt>
                <c:pt idx="6">
                  <c:v>S7 Auswertung</c:v>
                </c:pt>
                <c:pt idx="7">
                  <c:v>S8 Auswertung</c:v>
                </c:pt>
                <c:pt idx="8">
                  <c:v>S9 Auswertung</c:v>
                </c:pt>
                <c:pt idx="9">
                  <c:v>S10 Auswertung</c:v>
                </c:pt>
                <c:pt idx="10">
                  <c:v>S11 Auswertung</c:v>
                </c:pt>
                <c:pt idx="11">
                  <c:v>S12 Auswertung</c:v>
                </c:pt>
                <c:pt idx="12">
                  <c:v>S13 Auswertung</c:v>
                </c:pt>
                <c:pt idx="13">
                  <c:v>S14 Auswertung</c:v>
                </c:pt>
                <c:pt idx="14">
                  <c:v>S15 Auswertung</c:v>
                </c:pt>
                <c:pt idx="15">
                  <c:v>S16 Auswertung</c:v>
                </c:pt>
                <c:pt idx="16">
                  <c:v>S17 Auswertung</c:v>
                </c:pt>
                <c:pt idx="17">
                  <c:v>S18 Auswertung</c:v>
                </c:pt>
                <c:pt idx="18">
                  <c:v>S19 Auswertung</c:v>
                </c:pt>
                <c:pt idx="19">
                  <c:v>S20 Auswertung</c:v>
                </c:pt>
              </c:strCache>
            </c:strRef>
          </c:cat>
          <c:val>
            <c:numRef>
              <c:f>alles!$AA$14:$AT$14</c:f>
              <c:numCache>
                <c:formatCode>General</c:formatCode>
                <c:ptCount val="20"/>
                <c:pt idx="0">
                  <c:v>0.5</c:v>
                </c:pt>
                <c:pt idx="1">
                  <c:v>2.5</c:v>
                </c:pt>
                <c:pt idx="2">
                  <c:v>1.5</c:v>
                </c:pt>
                <c:pt idx="3">
                  <c:v>0</c:v>
                </c:pt>
                <c:pt idx="4">
                  <c:v>1</c:v>
                </c:pt>
                <c:pt idx="5">
                  <c:v>2.5</c:v>
                </c:pt>
                <c:pt idx="6">
                  <c:v>0.5</c:v>
                </c:pt>
                <c:pt idx="7">
                  <c:v>0.5</c:v>
                </c:pt>
                <c:pt idx="8">
                  <c:v>2</c:v>
                </c:pt>
                <c:pt idx="9">
                  <c:v>1.5</c:v>
                </c:pt>
                <c:pt idx="10">
                  <c:v>1</c:v>
                </c:pt>
                <c:pt idx="11">
                  <c:v>1.5</c:v>
                </c:pt>
                <c:pt idx="12">
                  <c:v>0.5</c:v>
                </c:pt>
                <c:pt idx="13">
                  <c:v>1.5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0.5</c:v>
                </c:pt>
                <c:pt idx="18">
                  <c:v>1.5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282-42A5-9EB6-C25DD57B679F}"/>
            </c:ext>
          </c:extLst>
        </c:ser>
        <c:ser>
          <c:idx val="9"/>
          <c:order val="9"/>
          <c:tx>
            <c:strRef>
              <c:f>alles!$Z$15</c:f>
              <c:strCache>
                <c:ptCount val="1"/>
                <c:pt idx="0">
                  <c:v>falsch verwendete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alles!$AA$5:$AT$5</c:f>
              <c:strCache>
                <c:ptCount val="20"/>
                <c:pt idx="0">
                  <c:v>S1 Auswertung</c:v>
                </c:pt>
                <c:pt idx="1">
                  <c:v>S2 Auswertung</c:v>
                </c:pt>
                <c:pt idx="2">
                  <c:v>S3 Auswertung</c:v>
                </c:pt>
                <c:pt idx="3">
                  <c:v>S4 Auswertung</c:v>
                </c:pt>
                <c:pt idx="4">
                  <c:v>S5 Auswertung</c:v>
                </c:pt>
                <c:pt idx="5">
                  <c:v>S6 Auswertung</c:v>
                </c:pt>
                <c:pt idx="6">
                  <c:v>S7 Auswertung</c:v>
                </c:pt>
                <c:pt idx="7">
                  <c:v>S8 Auswertung</c:v>
                </c:pt>
                <c:pt idx="8">
                  <c:v>S9 Auswertung</c:v>
                </c:pt>
                <c:pt idx="9">
                  <c:v>S10 Auswertung</c:v>
                </c:pt>
                <c:pt idx="10">
                  <c:v>S11 Auswertung</c:v>
                </c:pt>
                <c:pt idx="11">
                  <c:v>S12 Auswertung</c:v>
                </c:pt>
                <c:pt idx="12">
                  <c:v>S13 Auswertung</c:v>
                </c:pt>
                <c:pt idx="13">
                  <c:v>S14 Auswertung</c:v>
                </c:pt>
                <c:pt idx="14">
                  <c:v>S15 Auswertung</c:v>
                </c:pt>
                <c:pt idx="15">
                  <c:v>S16 Auswertung</c:v>
                </c:pt>
                <c:pt idx="16">
                  <c:v>S17 Auswertung</c:v>
                </c:pt>
                <c:pt idx="17">
                  <c:v>S18 Auswertung</c:v>
                </c:pt>
                <c:pt idx="18">
                  <c:v>S19 Auswertung</c:v>
                </c:pt>
                <c:pt idx="19">
                  <c:v>S20 Auswertung</c:v>
                </c:pt>
              </c:strCache>
            </c:strRef>
          </c:cat>
          <c:val>
            <c:numRef>
              <c:f>alles!$AA$15:$AT$15</c:f>
              <c:numCache>
                <c:formatCode>General</c:formatCode>
                <c:ptCount val="20"/>
              </c:numCache>
            </c:numRef>
          </c:val>
          <c:extLst>
            <c:ext xmlns:c16="http://schemas.microsoft.com/office/drawing/2014/chart" uri="{C3380CC4-5D6E-409C-BE32-E72D297353CC}">
              <c16:uniqueId val="{00000009-E282-42A5-9EB6-C25DD57B679F}"/>
            </c:ext>
          </c:extLst>
        </c:ser>
        <c:ser>
          <c:idx val="10"/>
          <c:order val="10"/>
          <c:tx>
            <c:strRef>
              <c:f>alles!$Z$16</c:f>
              <c:strCache>
                <c:ptCount val="1"/>
                <c:pt idx="0">
                  <c:v>Anzahl Sätze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alles!$AA$5:$AT$5</c:f>
              <c:strCache>
                <c:ptCount val="20"/>
                <c:pt idx="0">
                  <c:v>S1 Auswertung</c:v>
                </c:pt>
                <c:pt idx="1">
                  <c:v>S2 Auswertung</c:v>
                </c:pt>
                <c:pt idx="2">
                  <c:v>S3 Auswertung</c:v>
                </c:pt>
                <c:pt idx="3">
                  <c:v>S4 Auswertung</c:v>
                </c:pt>
                <c:pt idx="4">
                  <c:v>S5 Auswertung</c:v>
                </c:pt>
                <c:pt idx="5">
                  <c:v>S6 Auswertung</c:v>
                </c:pt>
                <c:pt idx="6">
                  <c:v>S7 Auswertung</c:v>
                </c:pt>
                <c:pt idx="7">
                  <c:v>S8 Auswertung</c:v>
                </c:pt>
                <c:pt idx="8">
                  <c:v>S9 Auswertung</c:v>
                </c:pt>
                <c:pt idx="9">
                  <c:v>S10 Auswertung</c:v>
                </c:pt>
                <c:pt idx="10">
                  <c:v>S11 Auswertung</c:v>
                </c:pt>
                <c:pt idx="11">
                  <c:v>S12 Auswertung</c:v>
                </c:pt>
                <c:pt idx="12">
                  <c:v>S13 Auswertung</c:v>
                </c:pt>
                <c:pt idx="13">
                  <c:v>S14 Auswertung</c:v>
                </c:pt>
                <c:pt idx="14">
                  <c:v>S15 Auswertung</c:v>
                </c:pt>
                <c:pt idx="15">
                  <c:v>S16 Auswertung</c:v>
                </c:pt>
                <c:pt idx="16">
                  <c:v>S17 Auswertung</c:v>
                </c:pt>
                <c:pt idx="17">
                  <c:v>S18 Auswertung</c:v>
                </c:pt>
                <c:pt idx="18">
                  <c:v>S19 Auswertung</c:v>
                </c:pt>
                <c:pt idx="19">
                  <c:v>S20 Auswertung</c:v>
                </c:pt>
              </c:strCache>
            </c:strRef>
          </c:cat>
          <c:val>
            <c:numRef>
              <c:f>alles!$AA$16:$AT$16</c:f>
              <c:numCache>
                <c:formatCode>General</c:formatCode>
                <c:ptCount val="20"/>
                <c:pt idx="0">
                  <c:v>0.66666666666666663</c:v>
                </c:pt>
                <c:pt idx="1">
                  <c:v>1.6666666666666667</c:v>
                </c:pt>
                <c:pt idx="2">
                  <c:v>1</c:v>
                </c:pt>
                <c:pt idx="3">
                  <c:v>0.66666666666666663</c:v>
                </c:pt>
                <c:pt idx="4">
                  <c:v>0.66666666666666663</c:v>
                </c:pt>
                <c:pt idx="5">
                  <c:v>0.66666666666666663</c:v>
                </c:pt>
                <c:pt idx="6">
                  <c:v>0.33333333333333331</c:v>
                </c:pt>
                <c:pt idx="7">
                  <c:v>0.66666666666666663</c:v>
                </c:pt>
                <c:pt idx="8">
                  <c:v>1</c:v>
                </c:pt>
                <c:pt idx="9">
                  <c:v>1.3333333333333333</c:v>
                </c:pt>
                <c:pt idx="10">
                  <c:v>1</c:v>
                </c:pt>
                <c:pt idx="11">
                  <c:v>1.3333333333333333</c:v>
                </c:pt>
                <c:pt idx="12">
                  <c:v>0.33333333333333331</c:v>
                </c:pt>
                <c:pt idx="13">
                  <c:v>0.66666666666666663</c:v>
                </c:pt>
                <c:pt idx="14">
                  <c:v>1</c:v>
                </c:pt>
                <c:pt idx="15">
                  <c:v>1</c:v>
                </c:pt>
                <c:pt idx="16">
                  <c:v>1.3333333333333333</c:v>
                </c:pt>
                <c:pt idx="17">
                  <c:v>1</c:v>
                </c:pt>
                <c:pt idx="18">
                  <c:v>1.6666666666666667</c:v>
                </c:pt>
                <c:pt idx="19">
                  <c:v>1.3333333333333333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282-42A5-9EB6-C25DD57B679F}"/>
            </c:ext>
          </c:extLst>
        </c:ser>
        <c:ser>
          <c:idx val="11"/>
          <c:order val="11"/>
          <c:tx>
            <c:strRef>
              <c:f>alles!$Z$17</c:f>
              <c:strCache>
                <c:ptCount val="1"/>
                <c:pt idx="0">
                  <c:v>Anzahl Satzbaufehler (später Anteil)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alles!$AA$5:$AT$5</c:f>
              <c:strCache>
                <c:ptCount val="20"/>
                <c:pt idx="0">
                  <c:v>S1 Auswertung</c:v>
                </c:pt>
                <c:pt idx="1">
                  <c:v>S2 Auswertung</c:v>
                </c:pt>
                <c:pt idx="2">
                  <c:v>S3 Auswertung</c:v>
                </c:pt>
                <c:pt idx="3">
                  <c:v>S4 Auswertung</c:v>
                </c:pt>
                <c:pt idx="4">
                  <c:v>S5 Auswertung</c:v>
                </c:pt>
                <c:pt idx="5">
                  <c:v>S6 Auswertung</c:v>
                </c:pt>
                <c:pt idx="6">
                  <c:v>S7 Auswertung</c:v>
                </c:pt>
                <c:pt idx="7">
                  <c:v>S8 Auswertung</c:v>
                </c:pt>
                <c:pt idx="8">
                  <c:v>S9 Auswertung</c:v>
                </c:pt>
                <c:pt idx="9">
                  <c:v>S10 Auswertung</c:v>
                </c:pt>
                <c:pt idx="10">
                  <c:v>S11 Auswertung</c:v>
                </c:pt>
                <c:pt idx="11">
                  <c:v>S12 Auswertung</c:v>
                </c:pt>
                <c:pt idx="12">
                  <c:v>S13 Auswertung</c:v>
                </c:pt>
                <c:pt idx="13">
                  <c:v>S14 Auswertung</c:v>
                </c:pt>
                <c:pt idx="14">
                  <c:v>S15 Auswertung</c:v>
                </c:pt>
                <c:pt idx="15">
                  <c:v>S16 Auswertung</c:v>
                </c:pt>
                <c:pt idx="16">
                  <c:v>S17 Auswertung</c:v>
                </c:pt>
                <c:pt idx="17">
                  <c:v>S18 Auswertung</c:v>
                </c:pt>
                <c:pt idx="18">
                  <c:v>S19 Auswertung</c:v>
                </c:pt>
                <c:pt idx="19">
                  <c:v>S20 Auswertung</c:v>
                </c:pt>
              </c:strCache>
            </c:strRef>
          </c:cat>
          <c:val>
            <c:numRef>
              <c:f>alles!$AA$17:$AT$17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0.33333333333333331</c:v>
                </c:pt>
                <c:pt idx="16">
                  <c:v>0.25</c:v>
                </c:pt>
                <c:pt idx="17">
                  <c:v>0.33333333333333331</c:v>
                </c:pt>
                <c:pt idx="18">
                  <c:v>0</c:v>
                </c:pt>
                <c:pt idx="19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282-42A5-9EB6-C25DD57B679F}"/>
            </c:ext>
          </c:extLst>
        </c:ser>
        <c:ser>
          <c:idx val="12"/>
          <c:order val="12"/>
          <c:tx>
            <c:strRef>
              <c:f>alles!$Z$18</c:f>
              <c:strCache>
                <c:ptCount val="1"/>
                <c:pt idx="0">
                  <c:v>Anteil der Satzbaufehler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alles!$AA$5:$AT$5</c:f>
              <c:strCache>
                <c:ptCount val="20"/>
                <c:pt idx="0">
                  <c:v>S1 Auswertung</c:v>
                </c:pt>
                <c:pt idx="1">
                  <c:v>S2 Auswertung</c:v>
                </c:pt>
                <c:pt idx="2">
                  <c:v>S3 Auswertung</c:v>
                </c:pt>
                <c:pt idx="3">
                  <c:v>S4 Auswertung</c:v>
                </c:pt>
                <c:pt idx="4">
                  <c:v>S5 Auswertung</c:v>
                </c:pt>
                <c:pt idx="5">
                  <c:v>S6 Auswertung</c:v>
                </c:pt>
                <c:pt idx="6">
                  <c:v>S7 Auswertung</c:v>
                </c:pt>
                <c:pt idx="7">
                  <c:v>S8 Auswertung</c:v>
                </c:pt>
                <c:pt idx="8">
                  <c:v>S9 Auswertung</c:v>
                </c:pt>
                <c:pt idx="9">
                  <c:v>S10 Auswertung</c:v>
                </c:pt>
                <c:pt idx="10">
                  <c:v>S11 Auswertung</c:v>
                </c:pt>
                <c:pt idx="11">
                  <c:v>S12 Auswertung</c:v>
                </c:pt>
                <c:pt idx="12">
                  <c:v>S13 Auswertung</c:v>
                </c:pt>
                <c:pt idx="13">
                  <c:v>S14 Auswertung</c:v>
                </c:pt>
                <c:pt idx="14">
                  <c:v>S15 Auswertung</c:v>
                </c:pt>
                <c:pt idx="15">
                  <c:v>S16 Auswertung</c:v>
                </c:pt>
                <c:pt idx="16">
                  <c:v>S17 Auswertung</c:v>
                </c:pt>
                <c:pt idx="17">
                  <c:v>S18 Auswertung</c:v>
                </c:pt>
                <c:pt idx="18">
                  <c:v>S19 Auswertung</c:v>
                </c:pt>
                <c:pt idx="19">
                  <c:v>S20 Auswertung</c:v>
                </c:pt>
              </c:strCache>
            </c:strRef>
          </c:cat>
          <c:val>
            <c:numRef>
              <c:f>alles!$AA$18:$AT$18</c:f>
              <c:numCache>
                <c:formatCode>General</c:formatCode>
                <c:ptCount val="20"/>
                <c:pt idx="0">
                  <c:v>2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0.66666666666666663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4</c:v>
                </c:pt>
                <c:pt idx="12">
                  <c:v>0.33333333333333331</c:v>
                </c:pt>
                <c:pt idx="13">
                  <c:v>2</c:v>
                </c:pt>
                <c:pt idx="14">
                  <c:v>3</c:v>
                </c:pt>
                <c:pt idx="15">
                  <c:v>1.5</c:v>
                </c:pt>
                <c:pt idx="16">
                  <c:v>2</c:v>
                </c:pt>
                <c:pt idx="17">
                  <c:v>1.5</c:v>
                </c:pt>
                <c:pt idx="18">
                  <c:v>5</c:v>
                </c:pt>
                <c:pt idx="1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282-42A5-9EB6-C25DD57B679F}"/>
            </c:ext>
          </c:extLst>
        </c:ser>
        <c:ser>
          <c:idx val="13"/>
          <c:order val="13"/>
          <c:tx>
            <c:strRef>
              <c:f>alles!$Z$19</c:f>
              <c:strCache>
                <c:ptCount val="1"/>
                <c:pt idx="0">
                  <c:v>Text sachlich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alles!$AA$5:$AT$5</c:f>
              <c:strCache>
                <c:ptCount val="20"/>
                <c:pt idx="0">
                  <c:v>S1 Auswertung</c:v>
                </c:pt>
                <c:pt idx="1">
                  <c:v>S2 Auswertung</c:v>
                </c:pt>
                <c:pt idx="2">
                  <c:v>S3 Auswertung</c:v>
                </c:pt>
                <c:pt idx="3">
                  <c:v>S4 Auswertung</c:v>
                </c:pt>
                <c:pt idx="4">
                  <c:v>S5 Auswertung</c:v>
                </c:pt>
                <c:pt idx="5">
                  <c:v>S6 Auswertung</c:v>
                </c:pt>
                <c:pt idx="6">
                  <c:v>S7 Auswertung</c:v>
                </c:pt>
                <c:pt idx="7">
                  <c:v>S8 Auswertung</c:v>
                </c:pt>
                <c:pt idx="8">
                  <c:v>S9 Auswertung</c:v>
                </c:pt>
                <c:pt idx="9">
                  <c:v>S10 Auswertung</c:v>
                </c:pt>
                <c:pt idx="10">
                  <c:v>S11 Auswertung</c:v>
                </c:pt>
                <c:pt idx="11">
                  <c:v>S12 Auswertung</c:v>
                </c:pt>
                <c:pt idx="12">
                  <c:v>S13 Auswertung</c:v>
                </c:pt>
                <c:pt idx="13">
                  <c:v>S14 Auswertung</c:v>
                </c:pt>
                <c:pt idx="14">
                  <c:v>S15 Auswertung</c:v>
                </c:pt>
                <c:pt idx="15">
                  <c:v>S16 Auswertung</c:v>
                </c:pt>
                <c:pt idx="16">
                  <c:v>S17 Auswertung</c:v>
                </c:pt>
                <c:pt idx="17">
                  <c:v>S18 Auswertung</c:v>
                </c:pt>
                <c:pt idx="18">
                  <c:v>S19 Auswertung</c:v>
                </c:pt>
                <c:pt idx="19">
                  <c:v>S20 Auswertung</c:v>
                </c:pt>
              </c:strCache>
            </c:strRef>
          </c:cat>
          <c:val>
            <c:numRef>
              <c:f>alles!$AA$19:$AT$19</c:f>
              <c:numCache>
                <c:formatCode>General</c:formatCode>
                <c:ptCount val="2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282-42A5-9EB6-C25DD57B679F}"/>
            </c:ext>
          </c:extLst>
        </c:ser>
        <c:ser>
          <c:idx val="14"/>
          <c:order val="14"/>
          <c:tx>
            <c:strRef>
              <c:f>alles!$Z$20</c:f>
              <c:strCache>
                <c:ptCount val="1"/>
                <c:pt idx="0">
                  <c:v>Text vollständig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alles!$AA$5:$AT$5</c:f>
              <c:strCache>
                <c:ptCount val="20"/>
                <c:pt idx="0">
                  <c:v>S1 Auswertung</c:v>
                </c:pt>
                <c:pt idx="1">
                  <c:v>S2 Auswertung</c:v>
                </c:pt>
                <c:pt idx="2">
                  <c:v>S3 Auswertung</c:v>
                </c:pt>
                <c:pt idx="3">
                  <c:v>S4 Auswertung</c:v>
                </c:pt>
                <c:pt idx="4">
                  <c:v>S5 Auswertung</c:v>
                </c:pt>
                <c:pt idx="5">
                  <c:v>S6 Auswertung</c:v>
                </c:pt>
                <c:pt idx="6">
                  <c:v>S7 Auswertung</c:v>
                </c:pt>
                <c:pt idx="7">
                  <c:v>S8 Auswertung</c:v>
                </c:pt>
                <c:pt idx="8">
                  <c:v>S9 Auswertung</c:v>
                </c:pt>
                <c:pt idx="9">
                  <c:v>S10 Auswertung</c:v>
                </c:pt>
                <c:pt idx="10">
                  <c:v>S11 Auswertung</c:v>
                </c:pt>
                <c:pt idx="11">
                  <c:v>S12 Auswertung</c:v>
                </c:pt>
                <c:pt idx="12">
                  <c:v>S13 Auswertung</c:v>
                </c:pt>
                <c:pt idx="13">
                  <c:v>S14 Auswertung</c:v>
                </c:pt>
                <c:pt idx="14">
                  <c:v>S15 Auswertung</c:v>
                </c:pt>
                <c:pt idx="15">
                  <c:v>S16 Auswertung</c:v>
                </c:pt>
                <c:pt idx="16">
                  <c:v>S17 Auswertung</c:v>
                </c:pt>
                <c:pt idx="17">
                  <c:v>S18 Auswertung</c:v>
                </c:pt>
                <c:pt idx="18">
                  <c:v>S19 Auswertung</c:v>
                </c:pt>
                <c:pt idx="19">
                  <c:v>S20 Auswertung</c:v>
                </c:pt>
              </c:strCache>
            </c:strRef>
          </c:cat>
          <c:val>
            <c:numRef>
              <c:f>alles!$AA$20:$AT$20</c:f>
              <c:numCache>
                <c:formatCode>General</c:formatCode>
                <c:ptCount val="20"/>
                <c:pt idx="0">
                  <c:v>0.5</c:v>
                </c:pt>
                <c:pt idx="1">
                  <c:v>1</c:v>
                </c:pt>
                <c:pt idx="2">
                  <c:v>1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1</c:v>
                </c:pt>
                <c:pt idx="8">
                  <c:v>1</c:v>
                </c:pt>
                <c:pt idx="9">
                  <c:v>1.5</c:v>
                </c:pt>
                <c:pt idx="10">
                  <c:v>1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1.5</c:v>
                </c:pt>
                <c:pt idx="17">
                  <c:v>0.5</c:v>
                </c:pt>
                <c:pt idx="18">
                  <c:v>1</c:v>
                </c:pt>
                <c:pt idx="19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282-42A5-9EB6-C25DD57B6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86469152"/>
        <c:axId val="1986485952"/>
      </c:barChart>
      <c:catAx>
        <c:axId val="198646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86485952"/>
        <c:crosses val="autoZero"/>
        <c:auto val="1"/>
        <c:lblAlgn val="ctr"/>
        <c:lblOffset val="100"/>
        <c:noMultiLvlLbl val="0"/>
      </c:catAx>
      <c:valAx>
        <c:axId val="198648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8646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3141666666666671"/>
          <c:y val="1.35780422031210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7.1885608048993868E-2"/>
          <c:y val="0.15792759874283724"/>
          <c:w val="0.85866994750656167"/>
          <c:h val="0.547018445610965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alles!$Z$6</c:f>
              <c:strCache>
                <c:ptCount val="1"/>
                <c:pt idx="0">
                  <c:v>Fachbegriffe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alles!$AA$5:$AT$5</c:f>
              <c:strCache>
                <c:ptCount val="20"/>
                <c:pt idx="0">
                  <c:v>S1 Auswertung</c:v>
                </c:pt>
                <c:pt idx="1">
                  <c:v>S2 Auswertung</c:v>
                </c:pt>
                <c:pt idx="2">
                  <c:v>S3 Auswertung</c:v>
                </c:pt>
                <c:pt idx="3">
                  <c:v>S4 Auswertung</c:v>
                </c:pt>
                <c:pt idx="4">
                  <c:v>S5 Auswertung</c:v>
                </c:pt>
                <c:pt idx="5">
                  <c:v>S6 Auswertung</c:v>
                </c:pt>
                <c:pt idx="6">
                  <c:v>S7 Auswertung</c:v>
                </c:pt>
                <c:pt idx="7">
                  <c:v>S8 Auswertung</c:v>
                </c:pt>
                <c:pt idx="8">
                  <c:v>S9 Auswertung</c:v>
                </c:pt>
                <c:pt idx="9">
                  <c:v>S10 Auswertung</c:v>
                </c:pt>
                <c:pt idx="10">
                  <c:v>S11 Auswertung</c:v>
                </c:pt>
                <c:pt idx="11">
                  <c:v>S12 Auswertung</c:v>
                </c:pt>
                <c:pt idx="12">
                  <c:v>S13 Auswertung</c:v>
                </c:pt>
                <c:pt idx="13">
                  <c:v>S14 Auswertung</c:v>
                </c:pt>
                <c:pt idx="14">
                  <c:v>S15 Auswertung</c:v>
                </c:pt>
                <c:pt idx="15">
                  <c:v>S16 Auswertung</c:v>
                </c:pt>
                <c:pt idx="16">
                  <c:v>S17 Auswertung</c:v>
                </c:pt>
                <c:pt idx="17">
                  <c:v>S18 Auswertung</c:v>
                </c:pt>
                <c:pt idx="18">
                  <c:v>S19 Auswertung</c:v>
                </c:pt>
                <c:pt idx="19">
                  <c:v>S20 Auswertung</c:v>
                </c:pt>
              </c:strCache>
            </c:strRef>
          </c:cat>
          <c:val>
            <c:numRef>
              <c:f>alles!$AA$6:$AT$6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0.2857142857142857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2D-4FBE-85AC-36D975E2A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6480192"/>
        <c:axId val="1986472032"/>
      </c:barChart>
      <c:catAx>
        <c:axId val="198648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86472032"/>
        <c:crosses val="autoZero"/>
        <c:auto val="1"/>
        <c:lblAlgn val="ctr"/>
        <c:lblOffset val="100"/>
        <c:noMultiLvlLbl val="0"/>
      </c:catAx>
      <c:valAx>
        <c:axId val="198647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8648019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Tabelle2!$E$10</c:f>
              <c:strCache>
                <c:ptCount val="1"/>
                <c:pt idx="0">
                  <c:v>Fachbegriffe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Tabelle2!$F$9:$Y$9</c:f>
              <c:strCache>
                <c:ptCount val="20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  <c:pt idx="10">
                  <c:v>S11</c:v>
                </c:pt>
                <c:pt idx="11">
                  <c:v>S12</c:v>
                </c:pt>
                <c:pt idx="12">
                  <c:v>S13</c:v>
                </c:pt>
                <c:pt idx="13">
                  <c:v>S14</c:v>
                </c:pt>
                <c:pt idx="14">
                  <c:v>S15</c:v>
                </c:pt>
                <c:pt idx="15">
                  <c:v>S16</c:v>
                </c:pt>
                <c:pt idx="16">
                  <c:v>S17</c:v>
                </c:pt>
                <c:pt idx="17">
                  <c:v>S18</c:v>
                </c:pt>
                <c:pt idx="18">
                  <c:v>S19</c:v>
                </c:pt>
                <c:pt idx="19">
                  <c:v>S20</c:v>
                </c:pt>
              </c:strCache>
            </c:strRef>
          </c:cat>
          <c:val>
            <c:numRef>
              <c:f>Tabelle2!$F$10:$Y$10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C5-4734-989F-147EC4857065}"/>
            </c:ext>
          </c:extLst>
        </c:ser>
        <c:ser>
          <c:idx val="1"/>
          <c:order val="1"/>
          <c:tx>
            <c:strRef>
              <c:f>Tabelle2!$E$11</c:f>
              <c:strCache>
                <c:ptCount val="1"/>
                <c:pt idx="0">
                  <c:v>falsch verwendete Fachbegriffe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Tabelle2!$F$9:$Y$9</c:f>
              <c:strCache>
                <c:ptCount val="20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  <c:pt idx="10">
                  <c:v>S11</c:v>
                </c:pt>
                <c:pt idx="11">
                  <c:v>S12</c:v>
                </c:pt>
                <c:pt idx="12">
                  <c:v>S13</c:v>
                </c:pt>
                <c:pt idx="13">
                  <c:v>S14</c:v>
                </c:pt>
                <c:pt idx="14">
                  <c:v>S15</c:v>
                </c:pt>
                <c:pt idx="15">
                  <c:v>S16</c:v>
                </c:pt>
                <c:pt idx="16">
                  <c:v>S17</c:v>
                </c:pt>
                <c:pt idx="17">
                  <c:v>S18</c:v>
                </c:pt>
                <c:pt idx="18">
                  <c:v>S19</c:v>
                </c:pt>
                <c:pt idx="19">
                  <c:v>S20</c:v>
                </c:pt>
              </c:strCache>
            </c:strRef>
          </c:cat>
          <c:val>
            <c:numRef>
              <c:f>Tabelle2!$F$11:$Y$11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C5-4734-989F-147EC4857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6501792"/>
        <c:axId val="1986502272"/>
      </c:barChart>
      <c:catAx>
        <c:axId val="198650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86502272"/>
        <c:crosses val="autoZero"/>
        <c:auto val="1"/>
        <c:lblAlgn val="ctr"/>
        <c:lblOffset val="100"/>
        <c:noMultiLvlLbl val="0"/>
      </c:catAx>
      <c:valAx>
        <c:axId val="198650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8650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Fachbegriffe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Tabelle2!$AD$29</c:f>
              <c:strCache>
                <c:ptCount val="1"/>
                <c:pt idx="0">
                  <c:v>Fachbegrirffe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Tabelle2!$AE$28:$AH$28</c:f>
              <c:strCache>
                <c:ptCount val="4"/>
                <c:pt idx="0">
                  <c:v>Anfang A</c:v>
                </c:pt>
                <c:pt idx="1">
                  <c:v>Ende A</c:v>
                </c:pt>
                <c:pt idx="2">
                  <c:v>Anfang B </c:v>
                </c:pt>
                <c:pt idx="3">
                  <c:v>Ende B</c:v>
                </c:pt>
              </c:strCache>
            </c:strRef>
          </c:cat>
          <c:val>
            <c:numRef>
              <c:f>Tabelle2!$AE$29:$AH$29</c:f>
              <c:numCache>
                <c:formatCode>General</c:formatCode>
                <c:ptCount val="4"/>
                <c:pt idx="0">
                  <c:v>0.1</c:v>
                </c:pt>
                <c:pt idx="1">
                  <c:v>4.7</c:v>
                </c:pt>
                <c:pt idx="2">
                  <c:v>0.1</c:v>
                </c:pt>
                <c:pt idx="3">
                  <c:v>3.95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9E-4A25-B704-ECF8EEF0C823}"/>
            </c:ext>
          </c:extLst>
        </c:ser>
        <c:ser>
          <c:idx val="1"/>
          <c:order val="1"/>
          <c:tx>
            <c:strRef>
              <c:f>Tabelle2!$AD$30</c:f>
              <c:strCache>
                <c:ptCount val="1"/>
                <c:pt idx="0">
                  <c:v>falsch angewendete Fachbegriffe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Tabelle2!$AE$28:$AH$28</c:f>
              <c:strCache>
                <c:ptCount val="4"/>
                <c:pt idx="0">
                  <c:v>Anfang A</c:v>
                </c:pt>
                <c:pt idx="1">
                  <c:v>Ende A</c:v>
                </c:pt>
                <c:pt idx="2">
                  <c:v>Anfang B </c:v>
                </c:pt>
                <c:pt idx="3">
                  <c:v>Ende B</c:v>
                </c:pt>
              </c:strCache>
            </c:strRef>
          </c:cat>
          <c:val>
            <c:numRef>
              <c:f>Tabelle2!$AE$30:$AH$30</c:f>
              <c:numCache>
                <c:formatCode>General</c:formatCode>
                <c:ptCount val="4"/>
                <c:pt idx="0">
                  <c:v>-0.05</c:v>
                </c:pt>
                <c:pt idx="1">
                  <c:v>-0.05</c:v>
                </c:pt>
                <c:pt idx="2">
                  <c:v>-0.1</c:v>
                </c:pt>
                <c:pt idx="3">
                  <c:v>-0.1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9E-4A25-B704-ECF8EEF0C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86495072"/>
        <c:axId val="1986479232"/>
      </c:barChart>
      <c:catAx>
        <c:axId val="198649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86479232"/>
        <c:crosses val="autoZero"/>
        <c:auto val="1"/>
        <c:lblAlgn val="ctr"/>
        <c:lblOffset val="100"/>
        <c:noMultiLvlLbl val="0"/>
      </c:catAx>
      <c:valAx>
        <c:axId val="198647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8649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Tabelle2!$AF$54</c:f>
              <c:strCache>
                <c:ptCount val="1"/>
                <c:pt idx="0">
                  <c:v>Anfang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Tabelle2!$AE$55:$AE$69</c:f>
              <c:strCache>
                <c:ptCount val="15"/>
                <c:pt idx="0">
                  <c:v>Fachbegriffe</c:v>
                </c:pt>
                <c:pt idx="1">
                  <c:v>falsch verwendete Fachbegriffe</c:v>
                </c:pt>
                <c:pt idx="2">
                  <c:v>Körperteile</c:v>
                </c:pt>
                <c:pt idx="3">
                  <c:v>falsch verwendete Körperteile</c:v>
                </c:pt>
                <c:pt idx="4">
                  <c:v>Verben</c:v>
                </c:pt>
                <c:pt idx="5">
                  <c:v>falsch verwendete/ umgangssprachlich</c:v>
                </c:pt>
                <c:pt idx="6">
                  <c:v>Adjektive</c:v>
                </c:pt>
                <c:pt idx="7">
                  <c:v>falsch verwendete</c:v>
                </c:pt>
                <c:pt idx="8">
                  <c:v>Präposition</c:v>
                </c:pt>
                <c:pt idx="9">
                  <c:v>falsch verwendete</c:v>
                </c:pt>
                <c:pt idx="10">
                  <c:v>Anzahl Sätze</c:v>
                </c:pt>
                <c:pt idx="11">
                  <c:v>Anzahl Satzbaufehler (später Anteil)</c:v>
                </c:pt>
                <c:pt idx="12">
                  <c:v>Anteil der Satzbaufehler</c:v>
                </c:pt>
                <c:pt idx="13">
                  <c:v>Text sachlich</c:v>
                </c:pt>
                <c:pt idx="14">
                  <c:v>Text vollständig</c:v>
                </c:pt>
              </c:strCache>
            </c:strRef>
          </c:cat>
          <c:val>
            <c:numRef>
              <c:f>Tabelle2!$AF$55:$AF$69</c:f>
              <c:numCache>
                <c:formatCode>General</c:formatCode>
                <c:ptCount val="15"/>
                <c:pt idx="0">
                  <c:v>0.1</c:v>
                </c:pt>
                <c:pt idx="1">
                  <c:v>-0.05</c:v>
                </c:pt>
                <c:pt idx="2">
                  <c:v>3.1</c:v>
                </c:pt>
                <c:pt idx="3">
                  <c:v>-0.05</c:v>
                </c:pt>
                <c:pt idx="4">
                  <c:v>2.95</c:v>
                </c:pt>
                <c:pt idx="5">
                  <c:v>-0.85</c:v>
                </c:pt>
                <c:pt idx="6">
                  <c:v>0.35</c:v>
                </c:pt>
                <c:pt idx="7">
                  <c:v>0</c:v>
                </c:pt>
                <c:pt idx="8">
                  <c:v>2.1</c:v>
                </c:pt>
                <c:pt idx="9">
                  <c:v>-1.1000000000000001</c:v>
                </c:pt>
                <c:pt idx="10">
                  <c:v>2.9</c:v>
                </c:pt>
                <c:pt idx="11">
                  <c:v>0.4</c:v>
                </c:pt>
                <c:pt idx="13">
                  <c:v>1</c:v>
                </c:pt>
                <c:pt idx="14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1-4399-9740-A71138C5C9E2}"/>
            </c:ext>
          </c:extLst>
        </c:ser>
        <c:ser>
          <c:idx val="1"/>
          <c:order val="1"/>
          <c:tx>
            <c:strRef>
              <c:f>Tabelle2!$AG$54</c:f>
              <c:strCache>
                <c:ptCount val="1"/>
                <c:pt idx="0">
                  <c:v>Ende 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Tabelle2!$AE$55:$AE$69</c:f>
              <c:strCache>
                <c:ptCount val="15"/>
                <c:pt idx="0">
                  <c:v>Fachbegriffe</c:v>
                </c:pt>
                <c:pt idx="1">
                  <c:v>falsch verwendete Fachbegriffe</c:v>
                </c:pt>
                <c:pt idx="2">
                  <c:v>Körperteile</c:v>
                </c:pt>
                <c:pt idx="3">
                  <c:v>falsch verwendete Körperteile</c:v>
                </c:pt>
                <c:pt idx="4">
                  <c:v>Verben</c:v>
                </c:pt>
                <c:pt idx="5">
                  <c:v>falsch verwendete/ umgangssprachlich</c:v>
                </c:pt>
                <c:pt idx="6">
                  <c:v>Adjektive</c:v>
                </c:pt>
                <c:pt idx="7">
                  <c:v>falsch verwendete</c:v>
                </c:pt>
                <c:pt idx="8">
                  <c:v>Präposition</c:v>
                </c:pt>
                <c:pt idx="9">
                  <c:v>falsch verwendete</c:v>
                </c:pt>
                <c:pt idx="10">
                  <c:v>Anzahl Sätze</c:v>
                </c:pt>
                <c:pt idx="11">
                  <c:v>Anzahl Satzbaufehler (später Anteil)</c:v>
                </c:pt>
                <c:pt idx="12">
                  <c:v>Anteil der Satzbaufehler</c:v>
                </c:pt>
                <c:pt idx="13">
                  <c:v>Text sachlich</c:v>
                </c:pt>
                <c:pt idx="14">
                  <c:v>Text vollständig</c:v>
                </c:pt>
              </c:strCache>
            </c:strRef>
          </c:cat>
          <c:val>
            <c:numRef>
              <c:f>Tabelle2!$AG$55:$AG$69</c:f>
              <c:numCache>
                <c:formatCode>General</c:formatCode>
                <c:ptCount val="15"/>
                <c:pt idx="0">
                  <c:v>4.7</c:v>
                </c:pt>
                <c:pt idx="1">
                  <c:v>-0.05</c:v>
                </c:pt>
                <c:pt idx="2">
                  <c:v>3.95</c:v>
                </c:pt>
                <c:pt idx="3">
                  <c:v>-0.15</c:v>
                </c:pt>
                <c:pt idx="4">
                  <c:v>3.2</c:v>
                </c:pt>
                <c:pt idx="5">
                  <c:v>-0.55000000000000004</c:v>
                </c:pt>
                <c:pt idx="6">
                  <c:v>0.8</c:v>
                </c:pt>
                <c:pt idx="7">
                  <c:v>0</c:v>
                </c:pt>
                <c:pt idx="8">
                  <c:v>2.5499999999999998</c:v>
                </c:pt>
                <c:pt idx="9">
                  <c:v>-0.2</c:v>
                </c:pt>
                <c:pt idx="10">
                  <c:v>3.2</c:v>
                </c:pt>
                <c:pt idx="11">
                  <c:v>0.05</c:v>
                </c:pt>
                <c:pt idx="13">
                  <c:v>2.95</c:v>
                </c:pt>
                <c:pt idx="14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1-4399-9740-A71138C5C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6382272"/>
        <c:axId val="1986386592"/>
      </c:barChart>
      <c:catAx>
        <c:axId val="1986382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86386592"/>
        <c:crosses val="autoZero"/>
        <c:auto val="1"/>
        <c:lblAlgn val="ctr"/>
        <c:lblOffset val="100"/>
        <c:noMultiLvlLbl val="0"/>
      </c:catAx>
      <c:valAx>
        <c:axId val="1986386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8638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Tabelle2!$AF$54</c:f>
              <c:strCache>
                <c:ptCount val="1"/>
                <c:pt idx="0">
                  <c:v>Anfang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Tabelle2!$AE$55:$AE$69</c:f>
              <c:strCache>
                <c:ptCount val="15"/>
                <c:pt idx="0">
                  <c:v>Fachbegriffe</c:v>
                </c:pt>
                <c:pt idx="1">
                  <c:v>falsch verwendete Fachbegriffe</c:v>
                </c:pt>
                <c:pt idx="2">
                  <c:v>Körperteile</c:v>
                </c:pt>
                <c:pt idx="3">
                  <c:v>falsch verwendete Körperteile</c:v>
                </c:pt>
                <c:pt idx="4">
                  <c:v>Verben</c:v>
                </c:pt>
                <c:pt idx="5">
                  <c:v>falsch verwendete/ umgangssprachlich</c:v>
                </c:pt>
                <c:pt idx="6">
                  <c:v>Adjektive</c:v>
                </c:pt>
                <c:pt idx="7">
                  <c:v>falsch verwendete</c:v>
                </c:pt>
                <c:pt idx="8">
                  <c:v>Präposition</c:v>
                </c:pt>
                <c:pt idx="9">
                  <c:v>falsch verwendete</c:v>
                </c:pt>
                <c:pt idx="10">
                  <c:v>Anzahl Sätze</c:v>
                </c:pt>
                <c:pt idx="11">
                  <c:v>Anzahl Satzbaufehler (später Anteil)</c:v>
                </c:pt>
                <c:pt idx="12">
                  <c:v>Anteil der Satzbaufehler</c:v>
                </c:pt>
                <c:pt idx="13">
                  <c:v>Text sachlich</c:v>
                </c:pt>
                <c:pt idx="14">
                  <c:v>Text vollständig</c:v>
                </c:pt>
              </c:strCache>
            </c:strRef>
          </c:cat>
          <c:val>
            <c:numRef>
              <c:f>Tabelle2!$AF$55:$AF$69</c:f>
              <c:numCache>
                <c:formatCode>General</c:formatCode>
                <c:ptCount val="15"/>
                <c:pt idx="0">
                  <c:v>0.1</c:v>
                </c:pt>
                <c:pt idx="1">
                  <c:v>-0.05</c:v>
                </c:pt>
                <c:pt idx="2">
                  <c:v>3.1</c:v>
                </c:pt>
                <c:pt idx="3">
                  <c:v>-0.05</c:v>
                </c:pt>
                <c:pt idx="4">
                  <c:v>2.95</c:v>
                </c:pt>
                <c:pt idx="5">
                  <c:v>-0.85</c:v>
                </c:pt>
                <c:pt idx="6">
                  <c:v>0.35</c:v>
                </c:pt>
                <c:pt idx="7">
                  <c:v>0</c:v>
                </c:pt>
                <c:pt idx="8">
                  <c:v>2.1</c:v>
                </c:pt>
                <c:pt idx="9">
                  <c:v>-1.1000000000000001</c:v>
                </c:pt>
                <c:pt idx="10">
                  <c:v>2.9</c:v>
                </c:pt>
                <c:pt idx="11">
                  <c:v>0.4</c:v>
                </c:pt>
                <c:pt idx="13">
                  <c:v>1</c:v>
                </c:pt>
                <c:pt idx="14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68-48D5-BB59-F2F428B9F04F}"/>
            </c:ext>
          </c:extLst>
        </c:ser>
        <c:ser>
          <c:idx val="1"/>
          <c:order val="1"/>
          <c:tx>
            <c:strRef>
              <c:f>Tabelle2!$AG$54</c:f>
              <c:strCache>
                <c:ptCount val="1"/>
                <c:pt idx="0">
                  <c:v>Ende A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Tabelle2!$AE$55:$AE$69</c:f>
              <c:strCache>
                <c:ptCount val="15"/>
                <c:pt idx="0">
                  <c:v>Fachbegriffe</c:v>
                </c:pt>
                <c:pt idx="1">
                  <c:v>falsch verwendete Fachbegriffe</c:v>
                </c:pt>
                <c:pt idx="2">
                  <c:v>Körperteile</c:v>
                </c:pt>
                <c:pt idx="3">
                  <c:v>falsch verwendete Körperteile</c:v>
                </c:pt>
                <c:pt idx="4">
                  <c:v>Verben</c:v>
                </c:pt>
                <c:pt idx="5">
                  <c:v>falsch verwendete/ umgangssprachlich</c:v>
                </c:pt>
                <c:pt idx="6">
                  <c:v>Adjektive</c:v>
                </c:pt>
                <c:pt idx="7">
                  <c:v>falsch verwendete</c:v>
                </c:pt>
                <c:pt idx="8">
                  <c:v>Präposition</c:v>
                </c:pt>
                <c:pt idx="9">
                  <c:v>falsch verwendete</c:v>
                </c:pt>
                <c:pt idx="10">
                  <c:v>Anzahl Sätze</c:v>
                </c:pt>
                <c:pt idx="11">
                  <c:v>Anzahl Satzbaufehler (später Anteil)</c:v>
                </c:pt>
                <c:pt idx="12">
                  <c:v>Anteil der Satzbaufehler</c:v>
                </c:pt>
                <c:pt idx="13">
                  <c:v>Text sachlich</c:v>
                </c:pt>
                <c:pt idx="14">
                  <c:v>Text vollständig</c:v>
                </c:pt>
              </c:strCache>
            </c:strRef>
          </c:cat>
          <c:val>
            <c:numRef>
              <c:f>Tabelle2!$AG$55:$AG$69</c:f>
              <c:numCache>
                <c:formatCode>General</c:formatCode>
                <c:ptCount val="15"/>
                <c:pt idx="0">
                  <c:v>4.7</c:v>
                </c:pt>
                <c:pt idx="1">
                  <c:v>-0.05</c:v>
                </c:pt>
                <c:pt idx="2">
                  <c:v>3.95</c:v>
                </c:pt>
                <c:pt idx="3">
                  <c:v>-0.15</c:v>
                </c:pt>
                <c:pt idx="4">
                  <c:v>3.2</c:v>
                </c:pt>
                <c:pt idx="5">
                  <c:v>-0.55000000000000004</c:v>
                </c:pt>
                <c:pt idx="6">
                  <c:v>0.8</c:v>
                </c:pt>
                <c:pt idx="7">
                  <c:v>0</c:v>
                </c:pt>
                <c:pt idx="8">
                  <c:v>2.5499999999999998</c:v>
                </c:pt>
                <c:pt idx="9">
                  <c:v>-0.2</c:v>
                </c:pt>
                <c:pt idx="10">
                  <c:v>3.2</c:v>
                </c:pt>
                <c:pt idx="11">
                  <c:v>0.05</c:v>
                </c:pt>
                <c:pt idx="13">
                  <c:v>2.95</c:v>
                </c:pt>
                <c:pt idx="14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68-48D5-BB59-F2F428B9F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6380832"/>
        <c:axId val="1986383712"/>
      </c:barChart>
      <c:catAx>
        <c:axId val="198638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86383712"/>
        <c:crosses val="autoZero"/>
        <c:auto val="1"/>
        <c:lblAlgn val="ctr"/>
        <c:lblOffset val="100"/>
        <c:noMultiLvlLbl val="0"/>
      </c:catAx>
      <c:valAx>
        <c:axId val="198638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8638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Tabelle2!$AF$54</c:f>
              <c:strCache>
                <c:ptCount val="1"/>
                <c:pt idx="0">
                  <c:v>Anfang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Tabelle2!$AE$55:$AE$69</c:f>
              <c:strCache>
                <c:ptCount val="15"/>
                <c:pt idx="0">
                  <c:v>Fachbegriffe</c:v>
                </c:pt>
                <c:pt idx="1">
                  <c:v>falsch verwendete Fachbegriffe</c:v>
                </c:pt>
                <c:pt idx="2">
                  <c:v>Körperteile</c:v>
                </c:pt>
                <c:pt idx="3">
                  <c:v>falsch verwendete Körperteile</c:v>
                </c:pt>
                <c:pt idx="4">
                  <c:v>Verben</c:v>
                </c:pt>
                <c:pt idx="5">
                  <c:v>falsch verwendete/ umgangssprachlich</c:v>
                </c:pt>
                <c:pt idx="6">
                  <c:v>Adjektive</c:v>
                </c:pt>
                <c:pt idx="7">
                  <c:v>falsch verwendete</c:v>
                </c:pt>
                <c:pt idx="8">
                  <c:v>Präposition</c:v>
                </c:pt>
                <c:pt idx="9">
                  <c:v>falsch verwendete</c:v>
                </c:pt>
                <c:pt idx="10">
                  <c:v>Anzahl Sätze</c:v>
                </c:pt>
                <c:pt idx="11">
                  <c:v>Anzahl Satzbaufehler (später Anteil)</c:v>
                </c:pt>
                <c:pt idx="12">
                  <c:v>Anteil der Satzbaufehler</c:v>
                </c:pt>
                <c:pt idx="13">
                  <c:v>Text sachlich</c:v>
                </c:pt>
                <c:pt idx="14">
                  <c:v>Text vollständig</c:v>
                </c:pt>
              </c:strCache>
            </c:strRef>
          </c:cat>
          <c:val>
            <c:numRef>
              <c:f>Tabelle2!$AF$55:$AF$69</c:f>
              <c:numCache>
                <c:formatCode>General</c:formatCode>
                <c:ptCount val="15"/>
                <c:pt idx="0">
                  <c:v>0.1</c:v>
                </c:pt>
                <c:pt idx="1">
                  <c:v>-0.05</c:v>
                </c:pt>
                <c:pt idx="2">
                  <c:v>3.1</c:v>
                </c:pt>
                <c:pt idx="3">
                  <c:v>-0.05</c:v>
                </c:pt>
                <c:pt idx="4">
                  <c:v>2.95</c:v>
                </c:pt>
                <c:pt idx="5">
                  <c:v>-0.85</c:v>
                </c:pt>
                <c:pt idx="6">
                  <c:v>0.35</c:v>
                </c:pt>
                <c:pt idx="7">
                  <c:v>0</c:v>
                </c:pt>
                <c:pt idx="8">
                  <c:v>2.1</c:v>
                </c:pt>
                <c:pt idx="9">
                  <c:v>-1.1000000000000001</c:v>
                </c:pt>
                <c:pt idx="10">
                  <c:v>2.9</c:v>
                </c:pt>
                <c:pt idx="11">
                  <c:v>0.4</c:v>
                </c:pt>
                <c:pt idx="13">
                  <c:v>1</c:v>
                </c:pt>
                <c:pt idx="14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D1-4BEC-A17A-59E97C77A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6386112"/>
        <c:axId val="1986387552"/>
      </c:barChart>
      <c:catAx>
        <c:axId val="198638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86387552"/>
        <c:crosses val="autoZero"/>
        <c:auto val="1"/>
        <c:lblAlgn val="ctr"/>
        <c:lblOffset val="100"/>
        <c:noMultiLvlLbl val="0"/>
      </c:catAx>
      <c:valAx>
        <c:axId val="198638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86386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Fachbegriffe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Tabelle2!$AC$37</c:f>
              <c:strCache>
                <c:ptCount val="1"/>
                <c:pt idx="0">
                  <c:v>Fachbegrirffe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Tabelle2!$AD$36:$AE$36</c:f>
              <c:strCache>
                <c:ptCount val="2"/>
                <c:pt idx="0">
                  <c:v>Anfang A</c:v>
                </c:pt>
                <c:pt idx="1">
                  <c:v>Anfang B </c:v>
                </c:pt>
              </c:strCache>
            </c:strRef>
          </c:cat>
          <c:val>
            <c:numRef>
              <c:f>Tabelle2!$AD$37:$AE$37</c:f>
              <c:numCache>
                <c:formatCode>General</c:formatCode>
                <c:ptCount val="2"/>
                <c:pt idx="0">
                  <c:v>0.1</c:v>
                </c:pt>
                <c:pt idx="1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1-4CE6-8652-7A92793C978A}"/>
            </c:ext>
          </c:extLst>
        </c:ser>
        <c:ser>
          <c:idx val="1"/>
          <c:order val="1"/>
          <c:tx>
            <c:strRef>
              <c:f>Tabelle2!$AC$38</c:f>
              <c:strCache>
                <c:ptCount val="1"/>
                <c:pt idx="0">
                  <c:v>falsch angewendete Fachbegriffe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Tabelle2!$AD$36:$AE$36</c:f>
              <c:strCache>
                <c:ptCount val="2"/>
                <c:pt idx="0">
                  <c:v>Anfang A</c:v>
                </c:pt>
                <c:pt idx="1">
                  <c:v>Anfang B </c:v>
                </c:pt>
              </c:strCache>
            </c:strRef>
          </c:cat>
          <c:val>
            <c:numRef>
              <c:f>Tabelle2!$AD$38:$AE$38</c:f>
              <c:numCache>
                <c:formatCode>General</c:formatCode>
                <c:ptCount val="2"/>
                <c:pt idx="0">
                  <c:v>-0.05</c:v>
                </c:pt>
                <c:pt idx="1">
                  <c:v>-0.1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E1-4CE6-8652-7A92793C9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6376512"/>
        <c:axId val="1986393312"/>
      </c:barChart>
      <c:catAx>
        <c:axId val="198637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86393312"/>
        <c:crosses val="autoZero"/>
        <c:auto val="1"/>
        <c:lblAlgn val="ctr"/>
        <c:lblOffset val="100"/>
        <c:noMultiLvlLbl val="0"/>
      </c:catAx>
      <c:valAx>
        <c:axId val="198639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8637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Fachbegriffe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Tabelle2!$AC$42</c:f>
              <c:strCache>
                <c:ptCount val="1"/>
                <c:pt idx="0">
                  <c:v>Fachbegrirffe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Tabelle2!$AD$41:$AE$41</c:f>
              <c:strCache>
                <c:ptCount val="2"/>
                <c:pt idx="0">
                  <c:v>Ende A</c:v>
                </c:pt>
                <c:pt idx="1">
                  <c:v>Ende B</c:v>
                </c:pt>
              </c:strCache>
            </c:strRef>
          </c:cat>
          <c:val>
            <c:numRef>
              <c:f>Tabelle2!$AD$42:$AE$42</c:f>
              <c:numCache>
                <c:formatCode>General</c:formatCode>
                <c:ptCount val="2"/>
                <c:pt idx="0">
                  <c:v>4.7</c:v>
                </c:pt>
                <c:pt idx="1">
                  <c:v>3.95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A2-40C8-98D4-30B24E6FED1D}"/>
            </c:ext>
          </c:extLst>
        </c:ser>
        <c:ser>
          <c:idx val="1"/>
          <c:order val="1"/>
          <c:tx>
            <c:strRef>
              <c:f>Tabelle2!$AC$43</c:f>
              <c:strCache>
                <c:ptCount val="1"/>
                <c:pt idx="0">
                  <c:v>falsch angewendete Fachbegriffe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Tabelle2!$AD$41:$AE$41</c:f>
              <c:strCache>
                <c:ptCount val="2"/>
                <c:pt idx="0">
                  <c:v>Ende A</c:v>
                </c:pt>
                <c:pt idx="1">
                  <c:v>Ende B</c:v>
                </c:pt>
              </c:strCache>
            </c:strRef>
          </c:cat>
          <c:val>
            <c:numRef>
              <c:f>Tabelle2!$AD$43:$AE$43</c:f>
              <c:numCache>
                <c:formatCode>General</c:formatCode>
                <c:ptCount val="2"/>
                <c:pt idx="0">
                  <c:v>-0.05</c:v>
                </c:pt>
                <c:pt idx="1">
                  <c:v>-0.1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A2-40C8-98D4-30B24E6FE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6398592"/>
        <c:axId val="1986390912"/>
      </c:barChart>
      <c:catAx>
        <c:axId val="198639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86390912"/>
        <c:crosses val="autoZero"/>
        <c:auto val="1"/>
        <c:lblAlgn val="ctr"/>
        <c:lblOffset val="100"/>
        <c:noMultiLvlLbl val="0"/>
      </c:catAx>
      <c:valAx>
        <c:axId val="198639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8639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Tabelle3!#REF!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Tabelle3!#REF!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Tabelle3!#REF!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C30-4A3F-AF55-6C979A7F7F2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Tabelle3!#REF!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Tabelle3!#REF!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Tabelle3!#REF!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FC30-4A3F-AF55-6C979A7F7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3713231"/>
        <c:axId val="1943716591"/>
      </c:barChart>
      <c:catAx>
        <c:axId val="1943713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43716591"/>
        <c:crosses val="autoZero"/>
        <c:auto val="1"/>
        <c:lblAlgn val="ctr"/>
        <c:lblOffset val="100"/>
        <c:noMultiLvlLbl val="0"/>
      </c:catAx>
      <c:valAx>
        <c:axId val="194371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43713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Tabelle3!$BF$45:$BF$54</c:f>
              <c:strCache>
                <c:ptCount val="10"/>
                <c:pt idx="0">
                  <c:v>Fachbegriffe</c:v>
                </c:pt>
                <c:pt idx="1">
                  <c:v>falsch verwendete Fachbegriffe</c:v>
                </c:pt>
                <c:pt idx="2">
                  <c:v>Körperteile</c:v>
                </c:pt>
                <c:pt idx="3">
                  <c:v>falsch verwendete Körperteile</c:v>
                </c:pt>
                <c:pt idx="4">
                  <c:v>Verben</c:v>
                </c:pt>
                <c:pt idx="5">
                  <c:v>falsch verwendete/ umgangssprachlich</c:v>
                </c:pt>
                <c:pt idx="6">
                  <c:v>Adjektive</c:v>
                </c:pt>
                <c:pt idx="7">
                  <c:v>falsch verwendete</c:v>
                </c:pt>
                <c:pt idx="8">
                  <c:v>Präposition</c:v>
                </c:pt>
                <c:pt idx="9">
                  <c:v>falsch verwendete</c:v>
                </c:pt>
              </c:strCache>
            </c:strRef>
          </c:cat>
          <c:val>
            <c:numRef>
              <c:f>Tabelle3!#REF!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Tabelle3!#REF!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4FB1-430E-8F2F-0567BF9EE6B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Tabelle3!$BF$45:$BF$54</c:f>
              <c:strCache>
                <c:ptCount val="10"/>
                <c:pt idx="0">
                  <c:v>Fachbegriffe</c:v>
                </c:pt>
                <c:pt idx="1">
                  <c:v>falsch verwendete Fachbegriffe</c:v>
                </c:pt>
                <c:pt idx="2">
                  <c:v>Körperteile</c:v>
                </c:pt>
                <c:pt idx="3">
                  <c:v>falsch verwendete Körperteile</c:v>
                </c:pt>
                <c:pt idx="4">
                  <c:v>Verben</c:v>
                </c:pt>
                <c:pt idx="5">
                  <c:v>falsch verwendete/ umgangssprachlich</c:v>
                </c:pt>
                <c:pt idx="6">
                  <c:v>Adjektive</c:v>
                </c:pt>
                <c:pt idx="7">
                  <c:v>falsch verwendete</c:v>
                </c:pt>
                <c:pt idx="8">
                  <c:v>Präposition</c:v>
                </c:pt>
                <c:pt idx="9">
                  <c:v>falsch verwendete</c:v>
                </c:pt>
              </c:strCache>
            </c:strRef>
          </c:cat>
          <c:val>
            <c:numRef>
              <c:f>Tabelle3!#REF!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Tabelle3!#REF!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4FB1-430E-8F2F-0567BF9EE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3729551"/>
        <c:axId val="1943730031"/>
      </c:barChart>
      <c:catAx>
        <c:axId val="1943729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43730031"/>
        <c:crosses val="autoZero"/>
        <c:auto val="1"/>
        <c:lblAlgn val="ctr"/>
        <c:lblOffset val="100"/>
        <c:noMultiLvlLbl val="0"/>
      </c:catAx>
      <c:valAx>
        <c:axId val="194373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43729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'Skala abhängig von Erwartung'!$AG$3</c:f>
              <c:strCache>
                <c:ptCount val="1"/>
                <c:pt idx="0">
                  <c:v>Anfang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'Skala abhängig von Erwartung'!$AF$4:$AF$13</c:f>
              <c:strCache>
                <c:ptCount val="10"/>
                <c:pt idx="0">
                  <c:v>Fachbegriffe</c:v>
                </c:pt>
                <c:pt idx="1">
                  <c:v>falsch verwendete Fachbegriffe</c:v>
                </c:pt>
                <c:pt idx="2">
                  <c:v>Körperteile</c:v>
                </c:pt>
                <c:pt idx="3">
                  <c:v>falsch verwendete Körperteile</c:v>
                </c:pt>
                <c:pt idx="4">
                  <c:v>Verben</c:v>
                </c:pt>
                <c:pt idx="5">
                  <c:v>falsch verwendete/ umgangssprachlich</c:v>
                </c:pt>
                <c:pt idx="6">
                  <c:v>Adjektive</c:v>
                </c:pt>
                <c:pt idx="7">
                  <c:v>falsch verwendete</c:v>
                </c:pt>
                <c:pt idx="8">
                  <c:v>Präposition</c:v>
                </c:pt>
                <c:pt idx="9">
                  <c:v>falsch verwendete</c:v>
                </c:pt>
              </c:strCache>
            </c:strRef>
          </c:cat>
          <c:val>
            <c:numRef>
              <c:f>'Skala abhängig von Erwartung'!$AG$4:$AG$13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6F-46FF-85A6-33B15C65B1C8}"/>
            </c:ext>
          </c:extLst>
        </c:ser>
        <c:ser>
          <c:idx val="1"/>
          <c:order val="1"/>
          <c:tx>
            <c:strRef>
              <c:f>'Skala abhängig von Erwartung'!$AH$3</c:f>
              <c:strCache>
                <c:ptCount val="1"/>
                <c:pt idx="0">
                  <c:v>Ende 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'Skala abhängig von Erwartung'!$AF$4:$AF$13</c:f>
              <c:strCache>
                <c:ptCount val="10"/>
                <c:pt idx="0">
                  <c:v>Fachbegriffe</c:v>
                </c:pt>
                <c:pt idx="1">
                  <c:v>falsch verwendete Fachbegriffe</c:v>
                </c:pt>
                <c:pt idx="2">
                  <c:v>Körperteile</c:v>
                </c:pt>
                <c:pt idx="3">
                  <c:v>falsch verwendete Körperteile</c:v>
                </c:pt>
                <c:pt idx="4">
                  <c:v>Verben</c:v>
                </c:pt>
                <c:pt idx="5">
                  <c:v>falsch verwendete/ umgangssprachlich</c:v>
                </c:pt>
                <c:pt idx="6">
                  <c:v>Adjektive</c:v>
                </c:pt>
                <c:pt idx="7">
                  <c:v>falsch verwendete</c:v>
                </c:pt>
                <c:pt idx="8">
                  <c:v>Präposition</c:v>
                </c:pt>
                <c:pt idx="9">
                  <c:v>falsch verwendete</c:v>
                </c:pt>
              </c:strCache>
            </c:strRef>
          </c:cat>
          <c:val>
            <c:numRef>
              <c:f>'Skala abhängig von Erwartung'!$AH$4:$AH$13</c:f>
              <c:numCache>
                <c:formatCode>General</c:formatCode>
                <c:ptCount val="10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3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6F-46FF-85A6-33B15C65B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3710351"/>
        <c:axId val="1943694031"/>
      </c:barChart>
      <c:catAx>
        <c:axId val="194371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43694031"/>
        <c:crosses val="autoZero"/>
        <c:auto val="1"/>
        <c:lblAlgn val="ctr"/>
        <c:lblOffset val="100"/>
        <c:noMultiLvlLbl val="0"/>
      </c:catAx>
      <c:valAx>
        <c:axId val="194369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4371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Bsp_Anf_End!$B$8</c:f>
              <c:strCache>
                <c:ptCount val="1"/>
                <c:pt idx="0">
                  <c:v>Anf_A_Körperteile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Bsp_Anf_End!$C$7:$F$7</c:f>
              <c:strCache>
                <c:ptCount val="4"/>
                <c:pt idx="0">
                  <c:v>S1 Auswertung</c:v>
                </c:pt>
                <c:pt idx="1">
                  <c:v>S2 Auswertung</c:v>
                </c:pt>
                <c:pt idx="2">
                  <c:v>S3 Auswertung</c:v>
                </c:pt>
                <c:pt idx="3">
                  <c:v>S4 Auswertung</c:v>
                </c:pt>
              </c:strCache>
            </c:strRef>
          </c:cat>
          <c:val>
            <c:numRef>
              <c:f>Bsp_Anf_End!$C$8:$F$8</c:f>
              <c:numCache>
                <c:formatCode>General</c:formatCode>
                <c:ptCount val="4"/>
                <c:pt idx="0">
                  <c:v>0</c:v>
                </c:pt>
                <c:pt idx="1">
                  <c:v>0.66666666666666663</c:v>
                </c:pt>
                <c:pt idx="2">
                  <c:v>0.5</c:v>
                </c:pt>
                <c:pt idx="3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70-4B53-B926-940567296F75}"/>
            </c:ext>
          </c:extLst>
        </c:ser>
        <c:ser>
          <c:idx val="1"/>
          <c:order val="1"/>
          <c:tx>
            <c:strRef>
              <c:f>Bsp_Anf_End!$B$9</c:f>
              <c:strCache>
                <c:ptCount val="1"/>
                <c:pt idx="0">
                  <c:v>Ende_A_Körperteile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Bsp_Anf_End!$C$7:$F$7</c:f>
              <c:strCache>
                <c:ptCount val="4"/>
                <c:pt idx="0">
                  <c:v>S1 Auswertung</c:v>
                </c:pt>
                <c:pt idx="1">
                  <c:v>S2 Auswertung</c:v>
                </c:pt>
                <c:pt idx="2">
                  <c:v>S3 Auswertung</c:v>
                </c:pt>
                <c:pt idx="3">
                  <c:v>S4 Auswertung</c:v>
                </c:pt>
              </c:strCache>
            </c:strRef>
          </c:cat>
          <c:val>
            <c:numRef>
              <c:f>Bsp_Anf_End!$C$9:$F$9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1.3333333333333333</c:v>
                </c:pt>
                <c:pt idx="3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70-4B53-B926-940567296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6372784"/>
        <c:axId val="1046373264"/>
      </c:barChart>
      <c:catAx>
        <c:axId val="104637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46373264"/>
        <c:crosses val="autoZero"/>
        <c:auto val="1"/>
        <c:lblAlgn val="ctr"/>
        <c:lblOffset val="100"/>
        <c:noMultiLvlLbl val="0"/>
      </c:catAx>
      <c:valAx>
        <c:axId val="104637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4637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691871</xdr:colOff>
      <xdr:row>20</xdr:row>
      <xdr:rowOff>43040</xdr:rowOff>
    </xdr:from>
    <xdr:to>
      <xdr:col>57</xdr:col>
      <xdr:colOff>691870</xdr:colOff>
      <xdr:row>35</xdr:row>
      <xdr:rowOff>64811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FC05AB-8612-49D3-588E-17F79F3897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49</xdr:col>
      <xdr:colOff>476947</xdr:colOff>
      <xdr:row>3</xdr:row>
      <xdr:rowOff>8384</xdr:rowOff>
    </xdr:from>
    <xdr:to>
      <xdr:col>55</xdr:col>
      <xdr:colOff>476947</xdr:colOff>
      <xdr:row>18</xdr:row>
      <xdr:rowOff>30154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89F48D2A-9E42-5A56-AC0B-1AC8C1140D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230482</xdr:colOff>
      <xdr:row>4</xdr:row>
      <xdr:rowOff>151224</xdr:rowOff>
    </xdr:from>
    <xdr:to>
      <xdr:col>34</xdr:col>
      <xdr:colOff>216371</xdr:colOff>
      <xdr:row>19</xdr:row>
      <xdr:rowOff>72202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DC4028D2-6F6E-5928-15FF-75C855B12C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289278</xdr:colOff>
      <xdr:row>17</xdr:row>
      <xdr:rowOff>21871</xdr:rowOff>
    </xdr:from>
    <xdr:to>
      <xdr:col>40</xdr:col>
      <xdr:colOff>275167</xdr:colOff>
      <xdr:row>31</xdr:row>
      <xdr:rowOff>130997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A7E0EAFE-2F0A-4930-9B76-AAEE48FAEF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383352</xdr:colOff>
      <xdr:row>73</xdr:row>
      <xdr:rowOff>104185</xdr:rowOff>
    </xdr:from>
    <xdr:to>
      <xdr:col>40</xdr:col>
      <xdr:colOff>35278</xdr:colOff>
      <xdr:row>97</xdr:row>
      <xdr:rowOff>94073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9A68D535-F3CD-251F-6FAC-8D478D0D22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653815</xdr:colOff>
      <xdr:row>45</xdr:row>
      <xdr:rowOff>117592</xdr:rowOff>
    </xdr:from>
    <xdr:to>
      <xdr:col>47</xdr:col>
      <xdr:colOff>493889</xdr:colOff>
      <xdr:row>73</xdr:row>
      <xdr:rowOff>70556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E540AB2E-A8B2-7E75-E54B-68FBA46DF4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41</xdr:col>
      <xdr:colOff>89369</xdr:colOff>
      <xdr:row>75</xdr:row>
      <xdr:rowOff>174742</xdr:rowOff>
    </xdr:from>
    <xdr:to>
      <xdr:col>49</xdr:col>
      <xdr:colOff>658517</xdr:colOff>
      <xdr:row>96</xdr:row>
      <xdr:rowOff>94074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BA3A1971-BA1B-702B-996F-9E4F504769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31</xdr:col>
      <xdr:colOff>677333</xdr:colOff>
      <xdr:row>29</xdr:row>
      <xdr:rowOff>186502</xdr:rowOff>
    </xdr:from>
    <xdr:to>
      <xdr:col>37</xdr:col>
      <xdr:colOff>663221</xdr:colOff>
      <xdr:row>44</xdr:row>
      <xdr:rowOff>107479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0C0F95A7-044A-746C-ADC8-7B9F3DC42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618537</xdr:colOff>
      <xdr:row>43</xdr:row>
      <xdr:rowOff>104187</xdr:rowOff>
    </xdr:from>
    <xdr:to>
      <xdr:col>32</xdr:col>
      <xdr:colOff>604426</xdr:colOff>
      <xdr:row>58</xdr:row>
      <xdr:rowOff>25164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45F1F1B4-E555-18DC-1343-7BFEE487FC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415657</xdr:colOff>
      <xdr:row>13</xdr:row>
      <xdr:rowOff>35156</xdr:rowOff>
    </xdr:from>
    <xdr:to>
      <xdr:col>64</xdr:col>
      <xdr:colOff>428150</xdr:colOff>
      <xdr:row>27</xdr:row>
      <xdr:rowOff>154464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ED6C755-CDFD-1B03-77FA-E74DDF8C34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57</xdr:col>
      <xdr:colOff>519451</xdr:colOff>
      <xdr:row>41</xdr:row>
      <xdr:rowOff>101392</xdr:rowOff>
    </xdr:from>
    <xdr:to>
      <xdr:col>63</xdr:col>
      <xdr:colOff>531943</xdr:colOff>
      <xdr:row>56</xdr:row>
      <xdr:rowOff>33936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BB910855-2D23-CBCC-1EBB-81EED14E6F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619728</xdr:colOff>
      <xdr:row>14</xdr:row>
      <xdr:rowOff>139539</xdr:rowOff>
    </xdr:from>
    <xdr:to>
      <xdr:col>39</xdr:col>
      <xdr:colOff>610083</xdr:colOff>
      <xdr:row>29</xdr:row>
      <xdr:rowOff>109638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CBD8DC15-8513-F707-36C3-5AFA7A8232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0</xdr:colOff>
      <xdr:row>1</xdr:row>
      <xdr:rowOff>160760</xdr:rowOff>
    </xdr:from>
    <xdr:to>
      <xdr:col>27</xdr:col>
      <xdr:colOff>639968</xdr:colOff>
      <xdr:row>16</xdr:row>
      <xdr:rowOff>35744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BE61DC68-40F8-C731-D909-AB1DDD1C9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44937" y="345633"/>
          <a:ext cx="7512436" cy="264808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536575</xdr:colOff>
      <xdr:row>9</xdr:row>
      <xdr:rowOff>44450</xdr:rowOff>
    </xdr:from>
    <xdr:to>
      <xdr:col>10</xdr:col>
      <xdr:colOff>536575</xdr:colOff>
      <xdr:row>24</xdr:row>
      <xdr:rowOff>25400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E359833C-06E1-916C-AF00-E77FDBD2D1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4651F-3216-4C09-81F7-B18C186387A4}">
  <dimension ref="B4:L35"/>
  <sheetViews>
    <sheetView zoomScale="81" workbookViewId="0">
      <selection activeCell="H26" sqref="H26"/>
    </sheetView>
  </sheetViews>
  <sheetFormatPr baseColWidth="10" defaultRowHeight="14.5" x14ac:dyDescent="0.35"/>
  <sheetData>
    <row r="4" spans="2:12" x14ac:dyDescent="0.35">
      <c r="C4" t="s">
        <v>3</v>
      </c>
      <c r="D4" t="s">
        <v>1</v>
      </c>
      <c r="I4" t="s">
        <v>13</v>
      </c>
    </row>
    <row r="5" spans="2:12" x14ac:dyDescent="0.35">
      <c r="C5" t="s">
        <v>8</v>
      </c>
      <c r="D5" t="s">
        <v>9</v>
      </c>
      <c r="E5" t="s">
        <v>10</v>
      </c>
      <c r="F5" t="s">
        <v>11</v>
      </c>
      <c r="I5" t="s">
        <v>8</v>
      </c>
      <c r="J5" t="s">
        <v>9</v>
      </c>
      <c r="K5" t="s">
        <v>10</v>
      </c>
      <c r="L5" t="s">
        <v>11</v>
      </c>
    </row>
    <row r="6" spans="2:12" x14ac:dyDescent="0.35">
      <c r="B6" t="s">
        <v>0</v>
      </c>
      <c r="C6">
        <v>0</v>
      </c>
      <c r="D6">
        <v>0</v>
      </c>
      <c r="E6">
        <v>0</v>
      </c>
      <c r="F6">
        <v>0</v>
      </c>
      <c r="H6" t="s">
        <v>0</v>
      </c>
      <c r="I6">
        <v>4</v>
      </c>
      <c r="J6">
        <v>3</v>
      </c>
      <c r="K6">
        <v>4</v>
      </c>
      <c r="L6">
        <v>5</v>
      </c>
    </row>
    <row r="7" spans="2:12" x14ac:dyDescent="0.35">
      <c r="B7" t="s">
        <v>14</v>
      </c>
      <c r="C7">
        <v>0</v>
      </c>
      <c r="D7">
        <v>0</v>
      </c>
      <c r="E7">
        <v>0</v>
      </c>
      <c r="F7">
        <v>-2</v>
      </c>
      <c r="H7" t="s">
        <v>15</v>
      </c>
      <c r="I7">
        <v>0</v>
      </c>
      <c r="J7">
        <v>0</v>
      </c>
      <c r="K7">
        <v>0</v>
      </c>
      <c r="L7">
        <v>0</v>
      </c>
    </row>
    <row r="8" spans="2:12" x14ac:dyDescent="0.35">
      <c r="B8" t="s">
        <v>4</v>
      </c>
      <c r="C8">
        <v>0</v>
      </c>
      <c r="D8">
        <v>4</v>
      </c>
      <c r="E8">
        <v>3</v>
      </c>
      <c r="F8">
        <v>2</v>
      </c>
      <c r="H8" t="s">
        <v>4</v>
      </c>
      <c r="I8">
        <v>0</v>
      </c>
      <c r="J8">
        <v>0</v>
      </c>
      <c r="K8">
        <v>8</v>
      </c>
      <c r="L8">
        <v>2</v>
      </c>
    </row>
    <row r="9" spans="2:12" x14ac:dyDescent="0.35">
      <c r="B9" t="s">
        <v>16</v>
      </c>
      <c r="C9">
        <v>0</v>
      </c>
      <c r="D9">
        <v>0</v>
      </c>
      <c r="E9">
        <v>0</v>
      </c>
      <c r="F9">
        <v>0</v>
      </c>
      <c r="H9" t="s">
        <v>15</v>
      </c>
      <c r="I9">
        <v>0</v>
      </c>
      <c r="J9">
        <v>0</v>
      </c>
      <c r="K9">
        <v>0</v>
      </c>
      <c r="L9">
        <v>0</v>
      </c>
    </row>
    <row r="10" spans="2:12" x14ac:dyDescent="0.35">
      <c r="B10" t="s">
        <v>5</v>
      </c>
      <c r="C10">
        <v>2</v>
      </c>
      <c r="D10">
        <v>3</v>
      </c>
      <c r="E10">
        <v>4</v>
      </c>
      <c r="F10">
        <v>4</v>
      </c>
      <c r="H10" t="s">
        <v>5</v>
      </c>
      <c r="I10">
        <v>2</v>
      </c>
      <c r="J10">
        <v>2</v>
      </c>
      <c r="K10">
        <v>7</v>
      </c>
      <c r="L10">
        <v>3</v>
      </c>
    </row>
    <row r="11" spans="2:12" x14ac:dyDescent="0.35">
      <c r="B11" t="s">
        <v>15</v>
      </c>
      <c r="C11">
        <v>0</v>
      </c>
      <c r="D11">
        <v>-3</v>
      </c>
      <c r="E11">
        <v>0</v>
      </c>
      <c r="F11">
        <v>0</v>
      </c>
      <c r="H11" t="s">
        <v>15</v>
      </c>
      <c r="I11">
        <v>0</v>
      </c>
      <c r="J11">
        <v>0</v>
      </c>
      <c r="K11">
        <v>0</v>
      </c>
      <c r="L11">
        <v>0</v>
      </c>
    </row>
    <row r="12" spans="2:12" x14ac:dyDescent="0.35">
      <c r="B12" t="s">
        <v>6</v>
      </c>
      <c r="C12">
        <v>0</v>
      </c>
      <c r="D12">
        <v>0</v>
      </c>
      <c r="E12">
        <v>3</v>
      </c>
      <c r="F12">
        <v>1</v>
      </c>
      <c r="H12" t="s">
        <v>6</v>
      </c>
      <c r="I12">
        <v>0</v>
      </c>
      <c r="J12">
        <v>0</v>
      </c>
      <c r="K12">
        <v>1</v>
      </c>
      <c r="L12">
        <v>1</v>
      </c>
    </row>
    <row r="13" spans="2:12" x14ac:dyDescent="0.35">
      <c r="B13" t="s">
        <v>15</v>
      </c>
      <c r="C13">
        <v>0</v>
      </c>
      <c r="D13">
        <v>0</v>
      </c>
      <c r="E13">
        <v>0</v>
      </c>
      <c r="F13">
        <v>0</v>
      </c>
      <c r="H13" t="s">
        <v>15</v>
      </c>
      <c r="I13">
        <v>0</v>
      </c>
      <c r="J13">
        <v>0</v>
      </c>
      <c r="K13">
        <v>0</v>
      </c>
      <c r="L13">
        <v>0</v>
      </c>
    </row>
    <row r="14" spans="2:12" x14ac:dyDescent="0.35">
      <c r="B14" t="s">
        <v>7</v>
      </c>
      <c r="C14">
        <v>1</v>
      </c>
      <c r="D14">
        <v>5</v>
      </c>
      <c r="E14">
        <v>3</v>
      </c>
      <c r="F14">
        <v>1</v>
      </c>
      <c r="H14" t="s">
        <v>7</v>
      </c>
      <c r="I14">
        <v>0</v>
      </c>
      <c r="J14">
        <v>0</v>
      </c>
      <c r="K14">
        <v>4</v>
      </c>
      <c r="L14">
        <v>0</v>
      </c>
    </row>
    <row r="15" spans="2:12" x14ac:dyDescent="0.35">
      <c r="B15" t="s">
        <v>15</v>
      </c>
      <c r="C15">
        <v>-1</v>
      </c>
      <c r="D15">
        <v>-1</v>
      </c>
      <c r="E15">
        <v>0</v>
      </c>
      <c r="F15">
        <v>0</v>
      </c>
      <c r="H15" t="s">
        <v>15</v>
      </c>
      <c r="I15">
        <v>0</v>
      </c>
      <c r="J15">
        <v>0</v>
      </c>
      <c r="K15">
        <v>0</v>
      </c>
      <c r="L15">
        <v>0</v>
      </c>
    </row>
    <row r="24" spans="2:12" x14ac:dyDescent="0.35">
      <c r="C24" t="s">
        <v>3</v>
      </c>
      <c r="D24" t="s">
        <v>2</v>
      </c>
      <c r="I24" t="s">
        <v>12</v>
      </c>
    </row>
    <row r="25" spans="2:12" x14ac:dyDescent="0.35">
      <c r="C25" t="s">
        <v>8</v>
      </c>
      <c r="D25" t="s">
        <v>9</v>
      </c>
      <c r="E25" t="s">
        <v>10</v>
      </c>
      <c r="F25" t="s">
        <v>11</v>
      </c>
      <c r="I25" t="s">
        <v>8</v>
      </c>
      <c r="J25" t="s">
        <v>9</v>
      </c>
      <c r="K25" t="s">
        <v>10</v>
      </c>
      <c r="L25" t="s">
        <v>11</v>
      </c>
    </row>
    <row r="26" spans="2:12" x14ac:dyDescent="0.35">
      <c r="B26" t="s">
        <v>0</v>
      </c>
      <c r="C26">
        <v>0</v>
      </c>
      <c r="D26">
        <v>0</v>
      </c>
      <c r="E26">
        <v>0</v>
      </c>
      <c r="F26">
        <v>0</v>
      </c>
      <c r="H26" t="s">
        <v>0</v>
      </c>
      <c r="I26">
        <v>3</v>
      </c>
      <c r="J26">
        <v>3</v>
      </c>
      <c r="K26">
        <v>4</v>
      </c>
      <c r="L26">
        <v>4</v>
      </c>
    </row>
    <row r="27" spans="2:12" x14ac:dyDescent="0.35">
      <c r="B27" t="s">
        <v>15</v>
      </c>
      <c r="C27">
        <v>0</v>
      </c>
      <c r="D27">
        <v>0</v>
      </c>
      <c r="E27">
        <v>0</v>
      </c>
      <c r="F27">
        <v>0</v>
      </c>
      <c r="H27" t="s">
        <v>15</v>
      </c>
      <c r="I27">
        <v>0</v>
      </c>
      <c r="J27">
        <v>-1</v>
      </c>
      <c r="K27">
        <v>0</v>
      </c>
      <c r="L27">
        <v>0</v>
      </c>
    </row>
    <row r="28" spans="2:12" x14ac:dyDescent="0.35">
      <c r="B28" t="s">
        <v>4</v>
      </c>
      <c r="C28">
        <v>0</v>
      </c>
      <c r="D28">
        <v>1</v>
      </c>
      <c r="E28">
        <v>4</v>
      </c>
      <c r="F28">
        <v>1</v>
      </c>
      <c r="H28" t="s">
        <v>4</v>
      </c>
      <c r="I28">
        <v>0</v>
      </c>
      <c r="J28">
        <v>3</v>
      </c>
      <c r="K28">
        <v>6</v>
      </c>
      <c r="L28">
        <v>2</v>
      </c>
    </row>
    <row r="29" spans="2:12" x14ac:dyDescent="0.35">
      <c r="B29" t="s">
        <v>15</v>
      </c>
      <c r="C29">
        <v>0</v>
      </c>
      <c r="D29">
        <v>0</v>
      </c>
      <c r="E29">
        <v>0</v>
      </c>
      <c r="F29">
        <v>0</v>
      </c>
      <c r="H29" t="s">
        <v>15</v>
      </c>
      <c r="I29">
        <v>0</v>
      </c>
      <c r="J29">
        <v>0</v>
      </c>
      <c r="K29">
        <v>0</v>
      </c>
      <c r="L29">
        <v>0</v>
      </c>
    </row>
    <row r="30" spans="2:12" x14ac:dyDescent="0.35">
      <c r="B30" t="s">
        <v>5</v>
      </c>
      <c r="C30">
        <v>2</v>
      </c>
      <c r="D30">
        <v>2</v>
      </c>
      <c r="E30">
        <v>4</v>
      </c>
      <c r="F30">
        <v>4</v>
      </c>
      <c r="H30" t="s">
        <v>5</v>
      </c>
      <c r="I30">
        <v>3</v>
      </c>
      <c r="J30">
        <v>3</v>
      </c>
      <c r="K30">
        <v>6</v>
      </c>
      <c r="L30">
        <v>3</v>
      </c>
    </row>
    <row r="31" spans="2:12" x14ac:dyDescent="0.35">
      <c r="B31" t="s">
        <v>15</v>
      </c>
      <c r="C31">
        <v>0</v>
      </c>
      <c r="D31">
        <v>-2</v>
      </c>
      <c r="E31">
        <v>0</v>
      </c>
      <c r="F31">
        <v>0</v>
      </c>
      <c r="H31" t="s">
        <v>15</v>
      </c>
      <c r="I31">
        <v>0</v>
      </c>
      <c r="J31">
        <v>0</v>
      </c>
      <c r="K31" t="s">
        <v>17</v>
      </c>
      <c r="L31">
        <v>0</v>
      </c>
    </row>
    <row r="32" spans="2:12" x14ac:dyDescent="0.35">
      <c r="B32" t="s">
        <v>6</v>
      </c>
      <c r="C32">
        <v>0</v>
      </c>
      <c r="D32">
        <v>0</v>
      </c>
      <c r="E32">
        <v>2</v>
      </c>
      <c r="F32">
        <v>4</v>
      </c>
      <c r="H32" t="s">
        <v>6</v>
      </c>
      <c r="I32">
        <v>0</v>
      </c>
      <c r="J32">
        <v>0</v>
      </c>
      <c r="K32">
        <v>3</v>
      </c>
      <c r="L32">
        <v>1</v>
      </c>
    </row>
    <row r="33" spans="2:12" x14ac:dyDescent="0.35">
      <c r="B33" t="s">
        <v>15</v>
      </c>
      <c r="C33">
        <v>0</v>
      </c>
      <c r="D33">
        <v>0</v>
      </c>
      <c r="E33">
        <v>0</v>
      </c>
      <c r="F33">
        <v>0</v>
      </c>
      <c r="H33" t="s">
        <v>15</v>
      </c>
      <c r="I33">
        <v>0</v>
      </c>
      <c r="J33">
        <v>0</v>
      </c>
      <c r="K33">
        <v>0</v>
      </c>
      <c r="L33">
        <v>0</v>
      </c>
    </row>
    <row r="34" spans="2:12" x14ac:dyDescent="0.35">
      <c r="B34" t="s">
        <v>7</v>
      </c>
      <c r="C34">
        <v>1</v>
      </c>
      <c r="D34">
        <v>5</v>
      </c>
      <c r="E34">
        <v>4</v>
      </c>
      <c r="F34">
        <v>0</v>
      </c>
      <c r="H34" t="s">
        <v>7</v>
      </c>
      <c r="I34">
        <v>0</v>
      </c>
      <c r="J34">
        <v>0</v>
      </c>
      <c r="K34">
        <v>3</v>
      </c>
      <c r="L34">
        <v>1</v>
      </c>
    </row>
    <row r="35" spans="2:12" x14ac:dyDescent="0.35">
      <c r="B35" t="s">
        <v>15</v>
      </c>
      <c r="C35">
        <v>0</v>
      </c>
      <c r="D35">
        <v>0</v>
      </c>
      <c r="E35">
        <v>0</v>
      </c>
      <c r="F35">
        <v>0</v>
      </c>
      <c r="H35" t="s">
        <v>15</v>
      </c>
      <c r="I35">
        <v>0</v>
      </c>
      <c r="J35">
        <v>-2</v>
      </c>
      <c r="K35">
        <v>0</v>
      </c>
      <c r="L35"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4C3ED-99EF-4928-A8B1-84A63737B72B}">
  <dimension ref="A1:AV69"/>
  <sheetViews>
    <sheetView zoomScale="54" zoomScaleNormal="70" workbookViewId="0">
      <pane xSplit="3" ySplit="5" topLeftCell="V6" activePane="bottomRight" state="frozen"/>
      <selection pane="topRight" activeCell="D1" sqref="D1"/>
      <selection pane="bottomLeft" activeCell="A6" sqref="A6"/>
      <selection pane="bottomRight" activeCell="AA5" sqref="AA4:AT5"/>
    </sheetView>
  </sheetViews>
  <sheetFormatPr baseColWidth="10" defaultRowHeight="14.5" x14ac:dyDescent="0.35"/>
  <sheetData>
    <row r="1" spans="1:48" x14ac:dyDescent="0.35">
      <c r="D1" t="s">
        <v>69</v>
      </c>
      <c r="H1" t="s">
        <v>20</v>
      </c>
      <c r="I1" t="s">
        <v>70</v>
      </c>
    </row>
    <row r="2" spans="1:48" x14ac:dyDescent="0.35">
      <c r="D2" t="s">
        <v>67</v>
      </c>
    </row>
    <row r="3" spans="1:48" x14ac:dyDescent="0.35">
      <c r="D3" t="s">
        <v>71</v>
      </c>
    </row>
    <row r="5" spans="1:48" x14ac:dyDescent="0.35">
      <c r="A5" t="s">
        <v>41</v>
      </c>
      <c r="D5" t="s">
        <v>8</v>
      </c>
      <c r="E5" t="s">
        <v>9</v>
      </c>
      <c r="F5" t="s">
        <v>10</v>
      </c>
      <c r="G5" t="s">
        <v>11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  <c r="W5" t="s">
        <v>40</v>
      </c>
      <c r="X5" t="s">
        <v>73</v>
      </c>
      <c r="Y5" t="s">
        <v>41</v>
      </c>
      <c r="AA5" t="s">
        <v>44</v>
      </c>
      <c r="AB5" t="s">
        <v>45</v>
      </c>
      <c r="AC5" t="s">
        <v>46</v>
      </c>
      <c r="AD5" t="s">
        <v>47</v>
      </c>
      <c r="AE5" t="s">
        <v>48</v>
      </c>
      <c r="AF5" t="s">
        <v>49</v>
      </c>
      <c r="AG5" t="s">
        <v>50</v>
      </c>
      <c r="AH5" t="s">
        <v>51</v>
      </c>
      <c r="AI5" t="s">
        <v>52</v>
      </c>
      <c r="AJ5" t="s">
        <v>53</v>
      </c>
      <c r="AK5" t="s">
        <v>54</v>
      </c>
      <c r="AL5" t="s">
        <v>55</v>
      </c>
      <c r="AM5" t="s">
        <v>56</v>
      </c>
      <c r="AN5" t="s">
        <v>57</v>
      </c>
      <c r="AO5" t="s">
        <v>58</v>
      </c>
      <c r="AP5" t="s">
        <v>59</v>
      </c>
      <c r="AQ5" t="s">
        <v>60</v>
      </c>
      <c r="AR5" t="s">
        <v>61</v>
      </c>
      <c r="AS5" t="s">
        <v>62</v>
      </c>
      <c r="AT5" t="s">
        <v>63</v>
      </c>
    </row>
    <row r="6" spans="1:48" x14ac:dyDescent="0.35">
      <c r="A6">
        <v>7</v>
      </c>
      <c r="B6" t="s">
        <v>18</v>
      </c>
      <c r="C6" t="s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f>AVERAGE(D6:W6)</f>
        <v>0.1</v>
      </c>
      <c r="Y6">
        <f>A6</f>
        <v>7</v>
      </c>
      <c r="Z6" t="s">
        <v>0</v>
      </c>
      <c r="AA6">
        <f>D6/$Y6</f>
        <v>0</v>
      </c>
      <c r="AB6">
        <f t="shared" ref="AB6:AT6" si="0">E6/$Y6</f>
        <v>0</v>
      </c>
      <c r="AC6">
        <f t="shared" si="0"/>
        <v>0</v>
      </c>
      <c r="AD6">
        <f t="shared" si="0"/>
        <v>0</v>
      </c>
      <c r="AE6">
        <f t="shared" si="0"/>
        <v>0</v>
      </c>
      <c r="AF6">
        <f t="shared" si="0"/>
        <v>0</v>
      </c>
      <c r="AG6">
        <f t="shared" si="0"/>
        <v>0</v>
      </c>
      <c r="AH6">
        <f t="shared" si="0"/>
        <v>0</v>
      </c>
      <c r="AI6">
        <f t="shared" si="0"/>
        <v>0</v>
      </c>
      <c r="AJ6">
        <f t="shared" si="0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0.2857142857142857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V6">
        <f>AVERAGE(AA6:AT6)</f>
        <v>1.4285714285714285E-2</v>
      </c>
    </row>
    <row r="7" spans="1:48" x14ac:dyDescent="0.35">
      <c r="B7" t="s">
        <v>18</v>
      </c>
      <c r="C7" t="s">
        <v>14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-1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f t="shared" ref="X7:X68" si="1">AVERAGE(D7:W7)</f>
        <v>-0.05</v>
      </c>
      <c r="Y7">
        <f t="shared" ref="Y7:Y18" si="2">A7</f>
        <v>0</v>
      </c>
      <c r="Z7" t="s">
        <v>14</v>
      </c>
      <c r="AV7" t="e">
        <f t="shared" ref="AV7:AV68" si="3">AVERAGE(AA7:AT7)</f>
        <v>#DIV/0!</v>
      </c>
    </row>
    <row r="8" spans="1:48" x14ac:dyDescent="0.35">
      <c r="A8">
        <v>4</v>
      </c>
      <c r="B8" t="s">
        <v>18</v>
      </c>
      <c r="C8" t="s">
        <v>4</v>
      </c>
      <c r="D8">
        <v>0</v>
      </c>
      <c r="E8">
        <v>6</v>
      </c>
      <c r="F8">
        <v>3</v>
      </c>
      <c r="G8">
        <v>0</v>
      </c>
      <c r="H8">
        <v>2</v>
      </c>
      <c r="I8">
        <v>4</v>
      </c>
      <c r="J8">
        <v>0</v>
      </c>
      <c r="K8">
        <v>1</v>
      </c>
      <c r="L8">
        <v>6</v>
      </c>
      <c r="M8">
        <v>8</v>
      </c>
      <c r="N8">
        <v>7</v>
      </c>
      <c r="O8">
        <v>0</v>
      </c>
      <c r="P8">
        <v>0</v>
      </c>
      <c r="Q8">
        <v>7</v>
      </c>
      <c r="R8">
        <v>2</v>
      </c>
      <c r="S8">
        <v>0</v>
      </c>
      <c r="T8">
        <v>8</v>
      </c>
      <c r="U8">
        <v>3</v>
      </c>
      <c r="V8">
        <v>4</v>
      </c>
      <c r="W8">
        <v>1</v>
      </c>
      <c r="X8">
        <f t="shared" si="1"/>
        <v>3.1</v>
      </c>
      <c r="Y8">
        <f t="shared" si="2"/>
        <v>4</v>
      </c>
      <c r="Z8" t="s">
        <v>4</v>
      </c>
      <c r="AA8">
        <f>D8/$Y8</f>
        <v>0</v>
      </c>
      <c r="AB8">
        <f t="shared" ref="AB8:AT8" si="4">E8/$Y8</f>
        <v>1.5</v>
      </c>
      <c r="AC8">
        <f t="shared" si="4"/>
        <v>0.75</v>
      </c>
      <c r="AD8">
        <f t="shared" si="4"/>
        <v>0</v>
      </c>
      <c r="AE8">
        <f t="shared" si="4"/>
        <v>0.5</v>
      </c>
      <c r="AF8">
        <f t="shared" si="4"/>
        <v>1</v>
      </c>
      <c r="AG8">
        <f t="shared" si="4"/>
        <v>0</v>
      </c>
      <c r="AH8">
        <f t="shared" si="4"/>
        <v>0.25</v>
      </c>
      <c r="AI8">
        <f t="shared" si="4"/>
        <v>1.5</v>
      </c>
      <c r="AJ8">
        <f t="shared" si="4"/>
        <v>2</v>
      </c>
      <c r="AK8">
        <f t="shared" si="4"/>
        <v>1.75</v>
      </c>
      <c r="AL8">
        <f t="shared" si="4"/>
        <v>0</v>
      </c>
      <c r="AM8">
        <f t="shared" si="4"/>
        <v>0</v>
      </c>
      <c r="AN8">
        <f t="shared" si="4"/>
        <v>1.75</v>
      </c>
      <c r="AO8">
        <f t="shared" si="4"/>
        <v>0.5</v>
      </c>
      <c r="AP8">
        <f t="shared" si="4"/>
        <v>0</v>
      </c>
      <c r="AQ8">
        <f t="shared" si="4"/>
        <v>2</v>
      </c>
      <c r="AR8">
        <f t="shared" si="4"/>
        <v>0.75</v>
      </c>
      <c r="AS8">
        <f t="shared" si="4"/>
        <v>1</v>
      </c>
      <c r="AT8">
        <f t="shared" si="4"/>
        <v>0.25</v>
      </c>
      <c r="AV8">
        <f t="shared" si="3"/>
        <v>0.77500000000000002</v>
      </c>
    </row>
    <row r="9" spans="1:48" x14ac:dyDescent="0.35">
      <c r="B9" t="s">
        <v>18</v>
      </c>
      <c r="C9" t="s">
        <v>16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-1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f t="shared" si="1"/>
        <v>-0.05</v>
      </c>
      <c r="Y9">
        <f t="shared" si="2"/>
        <v>0</v>
      </c>
      <c r="Z9" t="s">
        <v>16</v>
      </c>
      <c r="AV9" t="e">
        <f t="shared" si="3"/>
        <v>#DIV/0!</v>
      </c>
    </row>
    <row r="10" spans="1:48" x14ac:dyDescent="0.35">
      <c r="A10">
        <v>3</v>
      </c>
      <c r="B10" t="s">
        <v>18</v>
      </c>
      <c r="C10" t="s">
        <v>5</v>
      </c>
      <c r="D10">
        <v>2</v>
      </c>
      <c r="E10">
        <v>4</v>
      </c>
      <c r="F10">
        <v>7</v>
      </c>
      <c r="G10">
        <v>2</v>
      </c>
      <c r="H10">
        <v>1</v>
      </c>
      <c r="I10">
        <v>0</v>
      </c>
      <c r="J10">
        <v>1</v>
      </c>
      <c r="K10">
        <v>1</v>
      </c>
      <c r="L10">
        <v>4</v>
      </c>
      <c r="M10">
        <v>4</v>
      </c>
      <c r="N10">
        <v>3</v>
      </c>
      <c r="O10">
        <v>4</v>
      </c>
      <c r="P10">
        <v>2</v>
      </c>
      <c r="Q10">
        <v>1</v>
      </c>
      <c r="R10">
        <v>4</v>
      </c>
      <c r="S10">
        <v>4</v>
      </c>
      <c r="T10">
        <v>4</v>
      </c>
      <c r="U10">
        <v>3</v>
      </c>
      <c r="V10">
        <v>6</v>
      </c>
      <c r="W10">
        <v>2</v>
      </c>
      <c r="X10">
        <f t="shared" si="1"/>
        <v>2.95</v>
      </c>
      <c r="Y10">
        <f t="shared" si="2"/>
        <v>3</v>
      </c>
      <c r="Z10" t="s">
        <v>5</v>
      </c>
      <c r="AA10">
        <f>D10/$Y10</f>
        <v>0.66666666666666663</v>
      </c>
      <c r="AB10">
        <f t="shared" ref="AB10:AT10" si="5">E10/$Y10</f>
        <v>1.3333333333333333</v>
      </c>
      <c r="AC10">
        <f t="shared" si="5"/>
        <v>2.3333333333333335</v>
      </c>
      <c r="AD10">
        <f t="shared" si="5"/>
        <v>0.66666666666666663</v>
      </c>
      <c r="AE10">
        <f t="shared" si="5"/>
        <v>0.33333333333333331</v>
      </c>
      <c r="AF10">
        <f t="shared" si="5"/>
        <v>0</v>
      </c>
      <c r="AG10">
        <f t="shared" si="5"/>
        <v>0.33333333333333331</v>
      </c>
      <c r="AH10">
        <f t="shared" si="5"/>
        <v>0.33333333333333331</v>
      </c>
      <c r="AI10">
        <f t="shared" si="5"/>
        <v>1.3333333333333333</v>
      </c>
      <c r="AJ10">
        <f t="shared" si="5"/>
        <v>1.3333333333333333</v>
      </c>
      <c r="AK10">
        <f t="shared" si="5"/>
        <v>1</v>
      </c>
      <c r="AL10">
        <f t="shared" si="5"/>
        <v>1.3333333333333333</v>
      </c>
      <c r="AM10">
        <f t="shared" si="5"/>
        <v>0.66666666666666663</v>
      </c>
      <c r="AN10">
        <f t="shared" si="5"/>
        <v>0.33333333333333331</v>
      </c>
      <c r="AO10">
        <f t="shared" si="5"/>
        <v>1.3333333333333333</v>
      </c>
      <c r="AP10">
        <f t="shared" si="5"/>
        <v>1.3333333333333333</v>
      </c>
      <c r="AQ10">
        <f t="shared" si="5"/>
        <v>1.3333333333333333</v>
      </c>
      <c r="AR10">
        <f t="shared" si="5"/>
        <v>1</v>
      </c>
      <c r="AS10">
        <f t="shared" si="5"/>
        <v>2</v>
      </c>
      <c r="AT10">
        <f t="shared" si="5"/>
        <v>0.66666666666666663</v>
      </c>
      <c r="AV10">
        <f t="shared" si="3"/>
        <v>0.98333333333333339</v>
      </c>
    </row>
    <row r="11" spans="1:48" x14ac:dyDescent="0.35">
      <c r="B11" t="s">
        <v>18</v>
      </c>
      <c r="C11" t="s">
        <v>66</v>
      </c>
      <c r="D11">
        <v>0</v>
      </c>
      <c r="E11">
        <v>-3</v>
      </c>
      <c r="F11">
        <v>0</v>
      </c>
      <c r="G11">
        <v>0</v>
      </c>
      <c r="H11">
        <v>-1</v>
      </c>
      <c r="I11">
        <v>-3</v>
      </c>
      <c r="J11">
        <v>0</v>
      </c>
      <c r="K11">
        <v>-2</v>
      </c>
      <c r="L11">
        <v>0</v>
      </c>
      <c r="M11">
        <v>-1</v>
      </c>
      <c r="N11">
        <v>-1</v>
      </c>
      <c r="O11">
        <v>-1</v>
      </c>
      <c r="P11">
        <v>0</v>
      </c>
      <c r="Q11">
        <v>-1</v>
      </c>
      <c r="R11">
        <v>0</v>
      </c>
      <c r="S11">
        <v>0</v>
      </c>
      <c r="T11">
        <v>-1</v>
      </c>
      <c r="U11">
        <v>0</v>
      </c>
      <c r="V11">
        <v>-2</v>
      </c>
      <c r="W11">
        <v>-1</v>
      </c>
      <c r="X11">
        <f t="shared" si="1"/>
        <v>-0.85</v>
      </c>
      <c r="Y11">
        <f t="shared" si="2"/>
        <v>0</v>
      </c>
      <c r="Z11" t="s">
        <v>15</v>
      </c>
      <c r="AV11" t="e">
        <f t="shared" si="3"/>
        <v>#DIV/0!</v>
      </c>
    </row>
    <row r="12" spans="1:48" x14ac:dyDescent="0.35">
      <c r="A12">
        <v>0</v>
      </c>
      <c r="B12" t="s">
        <v>18</v>
      </c>
      <c r="C12" t="s">
        <v>6</v>
      </c>
      <c r="D12">
        <v>0</v>
      </c>
      <c r="E12">
        <v>0</v>
      </c>
      <c r="F12">
        <v>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1</v>
      </c>
      <c r="S12">
        <v>0</v>
      </c>
      <c r="T12">
        <v>0</v>
      </c>
      <c r="U12">
        <v>0</v>
      </c>
      <c r="V12">
        <v>0</v>
      </c>
      <c r="W12">
        <v>2</v>
      </c>
      <c r="X12">
        <f t="shared" si="1"/>
        <v>0.35</v>
      </c>
      <c r="Y12">
        <f t="shared" si="2"/>
        <v>0</v>
      </c>
      <c r="Z12" t="s">
        <v>6</v>
      </c>
      <c r="AA12">
        <f>D12</f>
        <v>0</v>
      </c>
      <c r="AB12">
        <f t="shared" ref="AB12:AT12" si="6">E12</f>
        <v>0</v>
      </c>
      <c r="AC12">
        <f t="shared" si="6"/>
        <v>3</v>
      </c>
      <c r="AD12">
        <f t="shared" si="6"/>
        <v>0</v>
      </c>
      <c r="AE12">
        <f t="shared" si="6"/>
        <v>0</v>
      </c>
      <c r="AF12">
        <f t="shared" si="6"/>
        <v>0</v>
      </c>
      <c r="AG12">
        <f t="shared" si="6"/>
        <v>0</v>
      </c>
      <c r="AH12">
        <f t="shared" si="6"/>
        <v>0</v>
      </c>
      <c r="AI12">
        <f t="shared" si="6"/>
        <v>0</v>
      </c>
      <c r="AJ12">
        <f t="shared" si="6"/>
        <v>0</v>
      </c>
      <c r="AK12">
        <f t="shared" si="6"/>
        <v>0</v>
      </c>
      <c r="AL12">
        <f t="shared" si="6"/>
        <v>0</v>
      </c>
      <c r="AM12">
        <f t="shared" si="6"/>
        <v>0</v>
      </c>
      <c r="AN12">
        <f t="shared" si="6"/>
        <v>1</v>
      </c>
      <c r="AO12">
        <f t="shared" si="6"/>
        <v>1</v>
      </c>
      <c r="AP12">
        <f t="shared" si="6"/>
        <v>0</v>
      </c>
      <c r="AQ12">
        <f t="shared" si="6"/>
        <v>0</v>
      </c>
      <c r="AR12">
        <f t="shared" si="6"/>
        <v>0</v>
      </c>
      <c r="AS12">
        <f t="shared" si="6"/>
        <v>0</v>
      </c>
      <c r="AT12">
        <f t="shared" si="6"/>
        <v>2</v>
      </c>
      <c r="AV12">
        <f t="shared" si="3"/>
        <v>0.35</v>
      </c>
    </row>
    <row r="13" spans="1:48" x14ac:dyDescent="0.35">
      <c r="B13" t="s">
        <v>18</v>
      </c>
      <c r="C13" t="s">
        <v>15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f t="shared" si="1"/>
        <v>0</v>
      </c>
      <c r="Y13">
        <f t="shared" si="2"/>
        <v>0</v>
      </c>
      <c r="Z13" t="s">
        <v>15</v>
      </c>
      <c r="AV13" t="e">
        <f t="shared" si="3"/>
        <v>#DIV/0!</v>
      </c>
    </row>
    <row r="14" spans="1:48" x14ac:dyDescent="0.35">
      <c r="A14">
        <v>2</v>
      </c>
      <c r="B14" t="s">
        <v>18</v>
      </c>
      <c r="C14" t="s">
        <v>7</v>
      </c>
      <c r="D14">
        <v>1</v>
      </c>
      <c r="E14">
        <v>5</v>
      </c>
      <c r="F14">
        <v>3</v>
      </c>
      <c r="G14">
        <v>0</v>
      </c>
      <c r="H14">
        <v>2</v>
      </c>
      <c r="I14">
        <v>5</v>
      </c>
      <c r="J14">
        <v>1</v>
      </c>
      <c r="K14">
        <v>1</v>
      </c>
      <c r="L14">
        <v>4</v>
      </c>
      <c r="M14">
        <v>3</v>
      </c>
      <c r="N14">
        <v>2</v>
      </c>
      <c r="O14">
        <v>3</v>
      </c>
      <c r="P14">
        <v>1</v>
      </c>
      <c r="Q14">
        <v>3</v>
      </c>
      <c r="R14">
        <v>2</v>
      </c>
      <c r="S14">
        <v>0</v>
      </c>
      <c r="T14">
        <v>2</v>
      </c>
      <c r="U14">
        <v>1</v>
      </c>
      <c r="V14">
        <v>3</v>
      </c>
      <c r="W14">
        <v>0</v>
      </c>
      <c r="X14">
        <f t="shared" si="1"/>
        <v>2.1</v>
      </c>
      <c r="Y14">
        <f t="shared" si="2"/>
        <v>2</v>
      </c>
      <c r="Z14" t="s">
        <v>7</v>
      </c>
      <c r="AA14">
        <f>D14/$Y14</f>
        <v>0.5</v>
      </c>
      <c r="AB14">
        <f t="shared" ref="AB14:AT14" si="7">E14/$Y14</f>
        <v>2.5</v>
      </c>
      <c r="AC14">
        <f t="shared" si="7"/>
        <v>1.5</v>
      </c>
      <c r="AD14">
        <f t="shared" si="7"/>
        <v>0</v>
      </c>
      <c r="AE14">
        <f t="shared" si="7"/>
        <v>1</v>
      </c>
      <c r="AF14">
        <f t="shared" si="7"/>
        <v>2.5</v>
      </c>
      <c r="AG14">
        <f t="shared" si="7"/>
        <v>0.5</v>
      </c>
      <c r="AH14">
        <f t="shared" si="7"/>
        <v>0.5</v>
      </c>
      <c r="AI14">
        <f t="shared" si="7"/>
        <v>2</v>
      </c>
      <c r="AJ14">
        <f t="shared" si="7"/>
        <v>1.5</v>
      </c>
      <c r="AK14">
        <f t="shared" si="7"/>
        <v>1</v>
      </c>
      <c r="AL14">
        <f t="shared" si="7"/>
        <v>1.5</v>
      </c>
      <c r="AM14">
        <f t="shared" si="7"/>
        <v>0.5</v>
      </c>
      <c r="AN14">
        <f t="shared" si="7"/>
        <v>1.5</v>
      </c>
      <c r="AO14">
        <f t="shared" si="7"/>
        <v>1</v>
      </c>
      <c r="AP14">
        <f t="shared" si="7"/>
        <v>0</v>
      </c>
      <c r="AQ14">
        <f t="shared" si="7"/>
        <v>1</v>
      </c>
      <c r="AR14">
        <f t="shared" si="7"/>
        <v>0.5</v>
      </c>
      <c r="AS14">
        <f t="shared" si="7"/>
        <v>1.5</v>
      </c>
      <c r="AT14">
        <f t="shared" si="7"/>
        <v>0</v>
      </c>
      <c r="AV14">
        <f t="shared" si="3"/>
        <v>1.05</v>
      </c>
    </row>
    <row r="15" spans="1:48" x14ac:dyDescent="0.35">
      <c r="B15" t="s">
        <v>18</v>
      </c>
      <c r="C15" t="s">
        <v>15</v>
      </c>
      <c r="D15">
        <v>0</v>
      </c>
      <c r="E15">
        <v>-1</v>
      </c>
      <c r="F15">
        <v>0</v>
      </c>
      <c r="G15">
        <v>0</v>
      </c>
      <c r="H15">
        <v>-1</v>
      </c>
      <c r="I15">
        <v>-3</v>
      </c>
      <c r="J15">
        <v>0</v>
      </c>
      <c r="K15">
        <v>-1</v>
      </c>
      <c r="L15">
        <v>-4</v>
      </c>
      <c r="M15">
        <v>-1</v>
      </c>
      <c r="N15">
        <v>-1</v>
      </c>
      <c r="O15">
        <v>0</v>
      </c>
      <c r="P15">
        <v>0</v>
      </c>
      <c r="Q15">
        <v>-3</v>
      </c>
      <c r="R15">
        <v>0</v>
      </c>
      <c r="S15">
        <v>-1</v>
      </c>
      <c r="T15">
        <v>-1</v>
      </c>
      <c r="U15">
        <v>-4</v>
      </c>
      <c r="V15">
        <v>-1</v>
      </c>
      <c r="W15">
        <v>0</v>
      </c>
      <c r="X15">
        <f t="shared" si="1"/>
        <v>-1.1000000000000001</v>
      </c>
      <c r="Y15">
        <f t="shared" si="2"/>
        <v>0</v>
      </c>
      <c r="Z15" t="s">
        <v>15</v>
      </c>
      <c r="AV15" t="e">
        <f t="shared" si="3"/>
        <v>#DIV/0!</v>
      </c>
    </row>
    <row r="16" spans="1:48" x14ac:dyDescent="0.35">
      <c r="A16">
        <v>3</v>
      </c>
      <c r="B16" t="s">
        <v>18</v>
      </c>
      <c r="C16" t="s">
        <v>42</v>
      </c>
      <c r="D16">
        <v>2</v>
      </c>
      <c r="E16">
        <v>5</v>
      </c>
      <c r="F16">
        <v>3</v>
      </c>
      <c r="G16">
        <v>2</v>
      </c>
      <c r="H16">
        <v>2</v>
      </c>
      <c r="I16">
        <v>2</v>
      </c>
      <c r="J16">
        <v>1</v>
      </c>
      <c r="K16">
        <v>2</v>
      </c>
      <c r="L16">
        <v>3</v>
      </c>
      <c r="M16">
        <v>4</v>
      </c>
      <c r="N16">
        <v>3</v>
      </c>
      <c r="O16">
        <v>4</v>
      </c>
      <c r="P16">
        <v>1</v>
      </c>
      <c r="Q16">
        <v>2</v>
      </c>
      <c r="R16">
        <v>3</v>
      </c>
      <c r="S16">
        <v>3</v>
      </c>
      <c r="T16">
        <v>4</v>
      </c>
      <c r="U16">
        <v>3</v>
      </c>
      <c r="V16">
        <v>5</v>
      </c>
      <c r="W16">
        <v>4</v>
      </c>
      <c r="X16">
        <f t="shared" si="1"/>
        <v>2.9</v>
      </c>
      <c r="Y16">
        <f t="shared" si="2"/>
        <v>3</v>
      </c>
      <c r="Z16" t="s">
        <v>42</v>
      </c>
      <c r="AA16">
        <f>D16/$Y16</f>
        <v>0.66666666666666663</v>
      </c>
      <c r="AB16">
        <f t="shared" ref="AB16:AT16" si="8">E16/$Y16</f>
        <v>1.6666666666666667</v>
      </c>
      <c r="AC16">
        <f t="shared" si="8"/>
        <v>1</v>
      </c>
      <c r="AD16">
        <f t="shared" si="8"/>
        <v>0.66666666666666663</v>
      </c>
      <c r="AE16">
        <f t="shared" si="8"/>
        <v>0.66666666666666663</v>
      </c>
      <c r="AF16">
        <f t="shared" si="8"/>
        <v>0.66666666666666663</v>
      </c>
      <c r="AG16">
        <f t="shared" si="8"/>
        <v>0.33333333333333331</v>
      </c>
      <c r="AH16">
        <f t="shared" si="8"/>
        <v>0.66666666666666663</v>
      </c>
      <c r="AI16">
        <f t="shared" si="8"/>
        <v>1</v>
      </c>
      <c r="AJ16">
        <f t="shared" si="8"/>
        <v>1.3333333333333333</v>
      </c>
      <c r="AK16">
        <f t="shared" si="8"/>
        <v>1</v>
      </c>
      <c r="AL16">
        <f t="shared" si="8"/>
        <v>1.3333333333333333</v>
      </c>
      <c r="AM16">
        <f t="shared" si="8"/>
        <v>0.33333333333333331</v>
      </c>
      <c r="AN16">
        <f t="shared" si="8"/>
        <v>0.66666666666666663</v>
      </c>
      <c r="AO16">
        <f t="shared" si="8"/>
        <v>1</v>
      </c>
      <c r="AP16">
        <f t="shared" si="8"/>
        <v>1</v>
      </c>
      <c r="AQ16">
        <f t="shared" si="8"/>
        <v>1.3333333333333333</v>
      </c>
      <c r="AR16">
        <f t="shared" si="8"/>
        <v>1</v>
      </c>
      <c r="AS16">
        <f t="shared" si="8"/>
        <v>1.6666666666666667</v>
      </c>
      <c r="AT16">
        <f t="shared" si="8"/>
        <v>1.3333333333333333</v>
      </c>
      <c r="AV16">
        <f t="shared" si="3"/>
        <v>0.96666666666666679</v>
      </c>
    </row>
    <row r="17" spans="1:48" x14ac:dyDescent="0.35">
      <c r="B17" t="s">
        <v>18</v>
      </c>
      <c r="C17" s="1" t="s">
        <v>43</v>
      </c>
      <c r="D17">
        <v>0</v>
      </c>
      <c r="E17">
        <v>0</v>
      </c>
      <c r="F17">
        <v>0</v>
      </c>
      <c r="G17">
        <v>0</v>
      </c>
      <c r="H17">
        <v>0</v>
      </c>
      <c r="I17">
        <v>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</v>
      </c>
      <c r="Q17">
        <v>0</v>
      </c>
      <c r="R17">
        <v>0</v>
      </c>
      <c r="S17">
        <v>1</v>
      </c>
      <c r="T17">
        <v>1</v>
      </c>
      <c r="U17">
        <v>1</v>
      </c>
      <c r="V17">
        <v>0</v>
      </c>
      <c r="W17">
        <v>1</v>
      </c>
      <c r="X17">
        <f t="shared" si="1"/>
        <v>0.4</v>
      </c>
      <c r="Y17">
        <f t="shared" si="2"/>
        <v>0</v>
      </c>
      <c r="Z17" t="s">
        <v>43</v>
      </c>
      <c r="AA17">
        <f>D17/D16</f>
        <v>0</v>
      </c>
      <c r="AB17">
        <f t="shared" ref="AB17:AT17" si="9">E17/E16</f>
        <v>0</v>
      </c>
      <c r="AC17">
        <f t="shared" si="9"/>
        <v>0</v>
      </c>
      <c r="AD17">
        <f t="shared" si="9"/>
        <v>0</v>
      </c>
      <c r="AE17">
        <f t="shared" si="9"/>
        <v>0</v>
      </c>
      <c r="AF17">
        <f t="shared" si="9"/>
        <v>1</v>
      </c>
      <c r="AG17">
        <f t="shared" si="9"/>
        <v>0</v>
      </c>
      <c r="AH17">
        <f t="shared" si="9"/>
        <v>0</v>
      </c>
      <c r="AI17">
        <f t="shared" si="9"/>
        <v>0</v>
      </c>
      <c r="AJ17">
        <f t="shared" si="9"/>
        <v>0</v>
      </c>
      <c r="AK17">
        <f t="shared" si="9"/>
        <v>0</v>
      </c>
      <c r="AL17">
        <f t="shared" si="9"/>
        <v>0</v>
      </c>
      <c r="AM17">
        <f t="shared" si="9"/>
        <v>2</v>
      </c>
      <c r="AN17">
        <f t="shared" si="9"/>
        <v>0</v>
      </c>
      <c r="AO17">
        <f t="shared" si="9"/>
        <v>0</v>
      </c>
      <c r="AP17">
        <f t="shared" si="9"/>
        <v>0.33333333333333331</v>
      </c>
      <c r="AQ17">
        <f t="shared" si="9"/>
        <v>0.25</v>
      </c>
      <c r="AR17">
        <f t="shared" si="9"/>
        <v>0.33333333333333331</v>
      </c>
      <c r="AS17">
        <f t="shared" si="9"/>
        <v>0</v>
      </c>
      <c r="AT17">
        <f t="shared" si="9"/>
        <v>0.25</v>
      </c>
      <c r="AV17">
        <f t="shared" si="3"/>
        <v>0.20833333333333334</v>
      </c>
    </row>
    <row r="18" spans="1:48" x14ac:dyDescent="0.35">
      <c r="A18">
        <v>0</v>
      </c>
      <c r="C18" t="s">
        <v>72</v>
      </c>
      <c r="Y18">
        <f t="shared" si="2"/>
        <v>0</v>
      </c>
      <c r="Z18" t="s">
        <v>72</v>
      </c>
      <c r="AA18">
        <f>D16/(D17+1)</f>
        <v>2</v>
      </c>
      <c r="AB18">
        <f t="shared" ref="AB18:AT18" si="10">E16/(E17+1)</f>
        <v>5</v>
      </c>
      <c r="AC18">
        <f t="shared" si="10"/>
        <v>3</v>
      </c>
      <c r="AD18">
        <f t="shared" si="10"/>
        <v>2</v>
      </c>
      <c r="AE18">
        <f t="shared" si="10"/>
        <v>2</v>
      </c>
      <c r="AF18">
        <f t="shared" si="10"/>
        <v>0.66666666666666663</v>
      </c>
      <c r="AG18">
        <f t="shared" si="10"/>
        <v>1</v>
      </c>
      <c r="AH18">
        <f t="shared" si="10"/>
        <v>2</v>
      </c>
      <c r="AI18">
        <f t="shared" si="10"/>
        <v>3</v>
      </c>
      <c r="AJ18">
        <f t="shared" si="10"/>
        <v>4</v>
      </c>
      <c r="AK18">
        <f t="shared" si="10"/>
        <v>3</v>
      </c>
      <c r="AL18">
        <f t="shared" si="10"/>
        <v>4</v>
      </c>
      <c r="AM18">
        <f t="shared" si="10"/>
        <v>0.33333333333333331</v>
      </c>
      <c r="AN18">
        <f t="shared" si="10"/>
        <v>2</v>
      </c>
      <c r="AO18">
        <f t="shared" si="10"/>
        <v>3</v>
      </c>
      <c r="AP18">
        <f t="shared" si="10"/>
        <v>1.5</v>
      </c>
      <c r="AQ18">
        <f t="shared" si="10"/>
        <v>2</v>
      </c>
      <c r="AR18">
        <f t="shared" si="10"/>
        <v>1.5</v>
      </c>
      <c r="AS18">
        <f t="shared" si="10"/>
        <v>5</v>
      </c>
      <c r="AT18">
        <f t="shared" si="10"/>
        <v>2</v>
      </c>
      <c r="AV18">
        <f t="shared" si="3"/>
        <v>2.4500000000000002</v>
      </c>
    </row>
    <row r="19" spans="1:48" x14ac:dyDescent="0.35">
      <c r="A19">
        <v>2</v>
      </c>
      <c r="B19" t="s">
        <v>18</v>
      </c>
      <c r="C19" t="s">
        <v>20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f t="shared" si="1"/>
        <v>1</v>
      </c>
      <c r="Y19">
        <f t="shared" ref="Y19:Y33" si="11">A19</f>
        <v>2</v>
      </c>
      <c r="Z19" t="s">
        <v>20</v>
      </c>
      <c r="AA19">
        <f t="shared" ref="AA19:AJ20" si="12">D19/$Y19</f>
        <v>0.5</v>
      </c>
      <c r="AB19">
        <f t="shared" si="12"/>
        <v>0.5</v>
      </c>
      <c r="AC19">
        <f t="shared" si="12"/>
        <v>0.5</v>
      </c>
      <c r="AD19">
        <f t="shared" si="12"/>
        <v>0.5</v>
      </c>
      <c r="AE19">
        <f t="shared" si="12"/>
        <v>0.5</v>
      </c>
      <c r="AF19">
        <f t="shared" si="12"/>
        <v>0.5</v>
      </c>
      <c r="AG19">
        <f t="shared" si="12"/>
        <v>0.5</v>
      </c>
      <c r="AH19">
        <f t="shared" si="12"/>
        <v>0.5</v>
      </c>
      <c r="AI19">
        <f t="shared" si="12"/>
        <v>0.5</v>
      </c>
      <c r="AJ19">
        <f t="shared" si="12"/>
        <v>0.5</v>
      </c>
      <c r="AK19">
        <f t="shared" ref="AK19:AT20" si="13">N19/$Y19</f>
        <v>0.5</v>
      </c>
      <c r="AL19">
        <f t="shared" si="13"/>
        <v>0.5</v>
      </c>
      <c r="AM19">
        <f t="shared" si="13"/>
        <v>0.5</v>
      </c>
      <c r="AN19">
        <f t="shared" si="13"/>
        <v>0.5</v>
      </c>
      <c r="AO19">
        <f t="shared" si="13"/>
        <v>0.5</v>
      </c>
      <c r="AP19">
        <f t="shared" si="13"/>
        <v>0.5</v>
      </c>
      <c r="AQ19">
        <f t="shared" si="13"/>
        <v>0.5</v>
      </c>
      <c r="AR19">
        <f t="shared" si="13"/>
        <v>0.5</v>
      </c>
      <c r="AS19">
        <f t="shared" si="13"/>
        <v>0.5</v>
      </c>
      <c r="AT19">
        <f t="shared" si="13"/>
        <v>0.5</v>
      </c>
      <c r="AV19">
        <f t="shared" si="3"/>
        <v>0.5</v>
      </c>
    </row>
    <row r="20" spans="1:48" x14ac:dyDescent="0.35">
      <c r="A20">
        <v>2</v>
      </c>
      <c r="B20" t="s">
        <v>18</v>
      </c>
      <c r="C20" t="s">
        <v>21</v>
      </c>
      <c r="D20">
        <v>1</v>
      </c>
      <c r="E20">
        <v>2</v>
      </c>
      <c r="F20">
        <v>2</v>
      </c>
      <c r="G20">
        <v>1</v>
      </c>
      <c r="H20">
        <v>1</v>
      </c>
      <c r="I20">
        <v>1</v>
      </c>
      <c r="J20">
        <v>1</v>
      </c>
      <c r="K20">
        <v>2</v>
      </c>
      <c r="L20">
        <v>2</v>
      </c>
      <c r="M20">
        <v>3</v>
      </c>
      <c r="N20">
        <v>2</v>
      </c>
      <c r="O20">
        <v>1</v>
      </c>
      <c r="P20">
        <v>1</v>
      </c>
      <c r="Q20">
        <v>1</v>
      </c>
      <c r="R20">
        <v>1</v>
      </c>
      <c r="S20">
        <v>1</v>
      </c>
      <c r="T20">
        <v>3</v>
      </c>
      <c r="U20">
        <v>1</v>
      </c>
      <c r="V20">
        <v>2</v>
      </c>
      <c r="W20">
        <v>1</v>
      </c>
      <c r="X20">
        <f t="shared" si="1"/>
        <v>1.5</v>
      </c>
      <c r="Y20">
        <f t="shared" si="11"/>
        <v>2</v>
      </c>
      <c r="Z20" t="s">
        <v>21</v>
      </c>
      <c r="AA20">
        <f t="shared" si="12"/>
        <v>0.5</v>
      </c>
      <c r="AB20">
        <f t="shared" si="12"/>
        <v>1</v>
      </c>
      <c r="AC20">
        <f t="shared" si="12"/>
        <v>1</v>
      </c>
      <c r="AD20">
        <f t="shared" si="12"/>
        <v>0.5</v>
      </c>
      <c r="AE20">
        <f t="shared" si="12"/>
        <v>0.5</v>
      </c>
      <c r="AF20">
        <f t="shared" si="12"/>
        <v>0.5</v>
      </c>
      <c r="AG20">
        <f t="shared" si="12"/>
        <v>0.5</v>
      </c>
      <c r="AH20">
        <f t="shared" si="12"/>
        <v>1</v>
      </c>
      <c r="AI20">
        <f t="shared" si="12"/>
        <v>1</v>
      </c>
      <c r="AJ20">
        <f t="shared" si="12"/>
        <v>1.5</v>
      </c>
      <c r="AK20">
        <f t="shared" si="13"/>
        <v>1</v>
      </c>
      <c r="AL20">
        <f t="shared" si="13"/>
        <v>0.5</v>
      </c>
      <c r="AM20">
        <f t="shared" si="13"/>
        <v>0.5</v>
      </c>
      <c r="AN20">
        <f t="shared" si="13"/>
        <v>0.5</v>
      </c>
      <c r="AO20">
        <f t="shared" si="13"/>
        <v>0.5</v>
      </c>
      <c r="AP20">
        <f t="shared" si="13"/>
        <v>0.5</v>
      </c>
      <c r="AQ20">
        <f t="shared" si="13"/>
        <v>1.5</v>
      </c>
      <c r="AR20">
        <f t="shared" si="13"/>
        <v>0.5</v>
      </c>
      <c r="AS20">
        <f t="shared" si="13"/>
        <v>1</v>
      </c>
      <c r="AT20">
        <f t="shared" si="13"/>
        <v>0.5</v>
      </c>
      <c r="AV20">
        <f t="shared" si="3"/>
        <v>0.75</v>
      </c>
    </row>
    <row r="21" spans="1:48" x14ac:dyDescent="0.35">
      <c r="B21" t="s">
        <v>18</v>
      </c>
      <c r="C21" t="s">
        <v>72</v>
      </c>
      <c r="Y21">
        <f t="shared" si="11"/>
        <v>0</v>
      </c>
      <c r="Z21" t="s">
        <v>22</v>
      </c>
      <c r="AV21" t="e">
        <f t="shared" si="3"/>
        <v>#DIV/0!</v>
      </c>
    </row>
    <row r="22" spans="1:48" x14ac:dyDescent="0.35">
      <c r="A22">
        <v>7</v>
      </c>
      <c r="B22" t="s">
        <v>19</v>
      </c>
      <c r="C22" t="s">
        <v>0</v>
      </c>
      <c r="D22">
        <v>4</v>
      </c>
      <c r="E22">
        <v>4</v>
      </c>
      <c r="F22">
        <v>4</v>
      </c>
      <c r="G22">
        <v>5</v>
      </c>
      <c r="H22">
        <v>3</v>
      </c>
      <c r="I22">
        <v>6</v>
      </c>
      <c r="J22">
        <v>2</v>
      </c>
      <c r="K22">
        <v>8</v>
      </c>
      <c r="L22">
        <v>3</v>
      </c>
      <c r="M22">
        <v>7</v>
      </c>
      <c r="N22">
        <v>3</v>
      </c>
      <c r="O22">
        <v>4</v>
      </c>
      <c r="P22">
        <v>5</v>
      </c>
      <c r="Q22">
        <v>4</v>
      </c>
      <c r="R22">
        <v>5</v>
      </c>
      <c r="S22">
        <v>4</v>
      </c>
      <c r="T22">
        <v>6</v>
      </c>
      <c r="U22">
        <v>6</v>
      </c>
      <c r="V22">
        <v>5</v>
      </c>
      <c r="W22">
        <v>6</v>
      </c>
      <c r="X22">
        <f t="shared" si="1"/>
        <v>4.7</v>
      </c>
      <c r="Y22">
        <f t="shared" si="11"/>
        <v>7</v>
      </c>
      <c r="Z22" t="s">
        <v>0</v>
      </c>
      <c r="AA22">
        <f t="shared" ref="AA22:AT22" si="14">D22/$Y22</f>
        <v>0.5714285714285714</v>
      </c>
      <c r="AB22">
        <f t="shared" si="14"/>
        <v>0.5714285714285714</v>
      </c>
      <c r="AC22">
        <f t="shared" si="14"/>
        <v>0.5714285714285714</v>
      </c>
      <c r="AD22">
        <f t="shared" si="14"/>
        <v>0.7142857142857143</v>
      </c>
      <c r="AE22">
        <f t="shared" si="14"/>
        <v>0.42857142857142855</v>
      </c>
      <c r="AF22">
        <f t="shared" si="14"/>
        <v>0.8571428571428571</v>
      </c>
      <c r="AG22">
        <f t="shared" si="14"/>
        <v>0.2857142857142857</v>
      </c>
      <c r="AH22">
        <f t="shared" si="14"/>
        <v>1.1428571428571428</v>
      </c>
      <c r="AI22">
        <f t="shared" si="14"/>
        <v>0.42857142857142855</v>
      </c>
      <c r="AJ22">
        <f t="shared" si="14"/>
        <v>1</v>
      </c>
      <c r="AK22">
        <f t="shared" si="14"/>
        <v>0.42857142857142855</v>
      </c>
      <c r="AL22">
        <f t="shared" si="14"/>
        <v>0.5714285714285714</v>
      </c>
      <c r="AM22">
        <f t="shared" si="14"/>
        <v>0.7142857142857143</v>
      </c>
      <c r="AN22">
        <f t="shared" si="14"/>
        <v>0.5714285714285714</v>
      </c>
      <c r="AO22">
        <f t="shared" si="14"/>
        <v>0.7142857142857143</v>
      </c>
      <c r="AP22">
        <f t="shared" si="14"/>
        <v>0.5714285714285714</v>
      </c>
      <c r="AQ22">
        <f t="shared" si="14"/>
        <v>0.8571428571428571</v>
      </c>
      <c r="AR22">
        <f t="shared" si="14"/>
        <v>0.8571428571428571</v>
      </c>
      <c r="AS22">
        <f t="shared" si="14"/>
        <v>0.7142857142857143</v>
      </c>
      <c r="AT22">
        <f t="shared" si="14"/>
        <v>0.8571428571428571</v>
      </c>
      <c r="AV22">
        <f t="shared" si="3"/>
        <v>0.67142857142857137</v>
      </c>
    </row>
    <row r="23" spans="1:48" x14ac:dyDescent="0.35">
      <c r="B23" t="s">
        <v>19</v>
      </c>
      <c r="C23" t="s">
        <v>15</v>
      </c>
      <c r="D23">
        <v>0</v>
      </c>
      <c r="E23">
        <v>0</v>
      </c>
      <c r="F23">
        <v>0</v>
      </c>
      <c r="G23">
        <v>-1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f t="shared" si="1"/>
        <v>-0.05</v>
      </c>
      <c r="Y23">
        <f t="shared" si="11"/>
        <v>0</v>
      </c>
      <c r="Z23" t="s">
        <v>15</v>
      </c>
      <c r="AV23" t="e">
        <f t="shared" si="3"/>
        <v>#DIV/0!</v>
      </c>
    </row>
    <row r="24" spans="1:48" x14ac:dyDescent="0.35">
      <c r="A24">
        <v>4</v>
      </c>
      <c r="B24" t="s">
        <v>19</v>
      </c>
      <c r="C24" t="s">
        <v>4</v>
      </c>
      <c r="D24">
        <v>0</v>
      </c>
      <c r="E24">
        <v>0</v>
      </c>
      <c r="F24">
        <v>8</v>
      </c>
      <c r="G24">
        <v>8</v>
      </c>
      <c r="H24">
        <v>2</v>
      </c>
      <c r="I24">
        <v>8</v>
      </c>
      <c r="J24">
        <v>0</v>
      </c>
      <c r="K24">
        <v>7</v>
      </c>
      <c r="L24">
        <v>2</v>
      </c>
      <c r="M24">
        <v>4</v>
      </c>
      <c r="N24">
        <v>4</v>
      </c>
      <c r="O24">
        <v>6</v>
      </c>
      <c r="P24">
        <v>0</v>
      </c>
      <c r="Q24">
        <v>6</v>
      </c>
      <c r="R24">
        <v>2</v>
      </c>
      <c r="S24">
        <v>0</v>
      </c>
      <c r="T24">
        <v>5</v>
      </c>
      <c r="U24">
        <v>6</v>
      </c>
      <c r="V24">
        <v>6</v>
      </c>
      <c r="W24">
        <v>5</v>
      </c>
      <c r="X24">
        <f t="shared" si="1"/>
        <v>3.95</v>
      </c>
      <c r="Y24">
        <f t="shared" si="11"/>
        <v>4</v>
      </c>
      <c r="Z24" t="s">
        <v>4</v>
      </c>
      <c r="AA24">
        <f t="shared" ref="AA24:AT24" si="15">D24/$Y24</f>
        <v>0</v>
      </c>
      <c r="AB24">
        <f t="shared" si="15"/>
        <v>0</v>
      </c>
      <c r="AC24">
        <f t="shared" si="15"/>
        <v>2</v>
      </c>
      <c r="AD24">
        <f t="shared" si="15"/>
        <v>2</v>
      </c>
      <c r="AE24">
        <f t="shared" si="15"/>
        <v>0.5</v>
      </c>
      <c r="AF24">
        <f t="shared" si="15"/>
        <v>2</v>
      </c>
      <c r="AG24">
        <f t="shared" si="15"/>
        <v>0</v>
      </c>
      <c r="AH24">
        <f t="shared" si="15"/>
        <v>1.75</v>
      </c>
      <c r="AI24">
        <f t="shared" si="15"/>
        <v>0.5</v>
      </c>
      <c r="AJ24">
        <f t="shared" si="15"/>
        <v>1</v>
      </c>
      <c r="AK24">
        <f t="shared" si="15"/>
        <v>1</v>
      </c>
      <c r="AL24">
        <f t="shared" si="15"/>
        <v>1.5</v>
      </c>
      <c r="AM24">
        <f t="shared" si="15"/>
        <v>0</v>
      </c>
      <c r="AN24">
        <f t="shared" si="15"/>
        <v>1.5</v>
      </c>
      <c r="AO24">
        <f t="shared" si="15"/>
        <v>0.5</v>
      </c>
      <c r="AP24">
        <f t="shared" si="15"/>
        <v>0</v>
      </c>
      <c r="AQ24">
        <f t="shared" si="15"/>
        <v>1.25</v>
      </c>
      <c r="AR24">
        <f t="shared" si="15"/>
        <v>1.5</v>
      </c>
      <c r="AS24">
        <f t="shared" si="15"/>
        <v>1.5</v>
      </c>
      <c r="AT24">
        <f t="shared" si="15"/>
        <v>1.25</v>
      </c>
      <c r="AV24">
        <f t="shared" si="3"/>
        <v>0.98750000000000004</v>
      </c>
    </row>
    <row r="25" spans="1:48" x14ac:dyDescent="0.35">
      <c r="B25" t="s">
        <v>19</v>
      </c>
      <c r="C25" t="s">
        <v>15</v>
      </c>
      <c r="D25">
        <v>0</v>
      </c>
      <c r="E25">
        <v>0</v>
      </c>
      <c r="F25">
        <v>0</v>
      </c>
      <c r="G25">
        <v>0</v>
      </c>
      <c r="H25">
        <v>-2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-1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f t="shared" si="1"/>
        <v>-0.15</v>
      </c>
      <c r="Y25">
        <f t="shared" si="11"/>
        <v>0</v>
      </c>
      <c r="Z25" t="s">
        <v>15</v>
      </c>
      <c r="AV25" t="e">
        <f t="shared" si="3"/>
        <v>#DIV/0!</v>
      </c>
    </row>
    <row r="26" spans="1:48" x14ac:dyDescent="0.35">
      <c r="A26">
        <v>3</v>
      </c>
      <c r="B26" t="s">
        <v>19</v>
      </c>
      <c r="C26" t="s">
        <v>5</v>
      </c>
      <c r="D26">
        <v>2</v>
      </c>
      <c r="E26">
        <v>2</v>
      </c>
      <c r="F26">
        <v>7</v>
      </c>
      <c r="G26">
        <v>6</v>
      </c>
      <c r="H26">
        <v>2</v>
      </c>
      <c r="I26">
        <v>4</v>
      </c>
      <c r="J26">
        <v>2</v>
      </c>
      <c r="K26">
        <v>2</v>
      </c>
      <c r="L26">
        <v>2</v>
      </c>
      <c r="M26">
        <v>4</v>
      </c>
      <c r="N26">
        <v>1</v>
      </c>
      <c r="O26">
        <v>2</v>
      </c>
      <c r="P26">
        <v>2</v>
      </c>
      <c r="Q26">
        <v>3</v>
      </c>
      <c r="R26">
        <v>3</v>
      </c>
      <c r="S26">
        <v>2</v>
      </c>
      <c r="T26">
        <v>3</v>
      </c>
      <c r="U26">
        <v>6</v>
      </c>
      <c r="V26">
        <v>5</v>
      </c>
      <c r="W26">
        <v>4</v>
      </c>
      <c r="X26">
        <f t="shared" si="1"/>
        <v>3.2</v>
      </c>
      <c r="Y26">
        <f t="shared" si="11"/>
        <v>3</v>
      </c>
      <c r="Z26" t="s">
        <v>5</v>
      </c>
      <c r="AA26">
        <f t="shared" ref="AA26:AT26" si="16">D26/$Y26</f>
        <v>0.66666666666666663</v>
      </c>
      <c r="AB26">
        <f t="shared" si="16"/>
        <v>0.66666666666666663</v>
      </c>
      <c r="AC26">
        <f t="shared" si="16"/>
        <v>2.3333333333333335</v>
      </c>
      <c r="AD26">
        <f t="shared" si="16"/>
        <v>2</v>
      </c>
      <c r="AE26">
        <f t="shared" si="16"/>
        <v>0.66666666666666663</v>
      </c>
      <c r="AF26">
        <f t="shared" si="16"/>
        <v>1.3333333333333333</v>
      </c>
      <c r="AG26">
        <f t="shared" si="16"/>
        <v>0.66666666666666663</v>
      </c>
      <c r="AH26">
        <f t="shared" si="16"/>
        <v>0.66666666666666663</v>
      </c>
      <c r="AI26">
        <f t="shared" si="16"/>
        <v>0.66666666666666663</v>
      </c>
      <c r="AJ26">
        <f t="shared" si="16"/>
        <v>1.3333333333333333</v>
      </c>
      <c r="AK26">
        <f t="shared" si="16"/>
        <v>0.33333333333333331</v>
      </c>
      <c r="AL26">
        <f t="shared" si="16"/>
        <v>0.66666666666666663</v>
      </c>
      <c r="AM26">
        <f t="shared" si="16"/>
        <v>0.66666666666666663</v>
      </c>
      <c r="AN26">
        <f t="shared" si="16"/>
        <v>1</v>
      </c>
      <c r="AO26">
        <f t="shared" si="16"/>
        <v>1</v>
      </c>
      <c r="AP26">
        <f t="shared" si="16"/>
        <v>0.66666666666666663</v>
      </c>
      <c r="AQ26">
        <f t="shared" si="16"/>
        <v>1</v>
      </c>
      <c r="AR26">
        <f t="shared" si="16"/>
        <v>2</v>
      </c>
      <c r="AS26">
        <f t="shared" si="16"/>
        <v>1.6666666666666667</v>
      </c>
      <c r="AT26">
        <f t="shared" si="16"/>
        <v>1.3333333333333333</v>
      </c>
      <c r="AV26">
        <f t="shared" si="3"/>
        <v>1.0666666666666667</v>
      </c>
    </row>
    <row r="27" spans="1:48" x14ac:dyDescent="0.35">
      <c r="B27" t="s">
        <v>19</v>
      </c>
      <c r="C27" t="s">
        <v>15</v>
      </c>
      <c r="D27">
        <v>0</v>
      </c>
      <c r="E27">
        <v>0</v>
      </c>
      <c r="F27">
        <v>0</v>
      </c>
      <c r="G27">
        <v>0</v>
      </c>
      <c r="H27">
        <v>-1</v>
      </c>
      <c r="I27">
        <v>-2</v>
      </c>
      <c r="J27">
        <v>0</v>
      </c>
      <c r="K27">
        <v>-3</v>
      </c>
      <c r="L27">
        <v>0</v>
      </c>
      <c r="M27">
        <v>0</v>
      </c>
      <c r="N27">
        <v>-1</v>
      </c>
      <c r="O27">
        <v>-2</v>
      </c>
      <c r="P27">
        <v>0</v>
      </c>
      <c r="Q27">
        <v>0</v>
      </c>
      <c r="R27">
        <v>0</v>
      </c>
      <c r="S27">
        <v>0</v>
      </c>
      <c r="T27">
        <v>-1</v>
      </c>
      <c r="U27">
        <v>0</v>
      </c>
      <c r="V27">
        <v>0</v>
      </c>
      <c r="W27">
        <v>-1</v>
      </c>
      <c r="X27">
        <f t="shared" si="1"/>
        <v>-0.55000000000000004</v>
      </c>
      <c r="Y27">
        <f t="shared" si="11"/>
        <v>0</v>
      </c>
      <c r="Z27" t="s">
        <v>15</v>
      </c>
      <c r="AV27" t="e">
        <f t="shared" si="3"/>
        <v>#DIV/0!</v>
      </c>
    </row>
    <row r="28" spans="1:48" x14ac:dyDescent="0.35">
      <c r="A28">
        <v>0</v>
      </c>
      <c r="B28" t="s">
        <v>19</v>
      </c>
      <c r="C28" t="s">
        <v>6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2</v>
      </c>
      <c r="L28">
        <v>2</v>
      </c>
      <c r="M28">
        <v>0</v>
      </c>
      <c r="N28">
        <v>0</v>
      </c>
      <c r="O28">
        <v>1</v>
      </c>
      <c r="P28">
        <v>1</v>
      </c>
      <c r="Q28">
        <v>1</v>
      </c>
      <c r="R28">
        <v>1</v>
      </c>
      <c r="S28">
        <v>0</v>
      </c>
      <c r="T28">
        <v>1</v>
      </c>
      <c r="U28">
        <v>2</v>
      </c>
      <c r="V28">
        <v>2</v>
      </c>
      <c r="W28">
        <v>2</v>
      </c>
      <c r="X28">
        <f t="shared" si="1"/>
        <v>0.8</v>
      </c>
      <c r="Y28">
        <f t="shared" si="11"/>
        <v>0</v>
      </c>
      <c r="Z28" t="s">
        <v>6</v>
      </c>
      <c r="AA28" t="e">
        <f t="shared" ref="AA28:AT28" si="17">D28/$Y28</f>
        <v>#DIV/0!</v>
      </c>
      <c r="AB28" t="e">
        <f t="shared" si="17"/>
        <v>#DIV/0!</v>
      </c>
      <c r="AC28" t="e">
        <f t="shared" si="17"/>
        <v>#DIV/0!</v>
      </c>
      <c r="AD28" t="e">
        <f t="shared" si="17"/>
        <v>#DIV/0!</v>
      </c>
      <c r="AE28" t="e">
        <f t="shared" si="17"/>
        <v>#DIV/0!</v>
      </c>
      <c r="AF28" t="e">
        <f t="shared" si="17"/>
        <v>#DIV/0!</v>
      </c>
      <c r="AG28" t="e">
        <f t="shared" si="17"/>
        <v>#DIV/0!</v>
      </c>
      <c r="AH28" t="e">
        <f t="shared" si="17"/>
        <v>#DIV/0!</v>
      </c>
      <c r="AI28" t="e">
        <f t="shared" si="17"/>
        <v>#DIV/0!</v>
      </c>
      <c r="AJ28" t="e">
        <f t="shared" si="17"/>
        <v>#DIV/0!</v>
      </c>
      <c r="AK28" t="e">
        <f t="shared" si="17"/>
        <v>#DIV/0!</v>
      </c>
      <c r="AL28" t="e">
        <f t="shared" si="17"/>
        <v>#DIV/0!</v>
      </c>
      <c r="AM28" t="e">
        <f t="shared" si="17"/>
        <v>#DIV/0!</v>
      </c>
      <c r="AN28" t="e">
        <f t="shared" si="17"/>
        <v>#DIV/0!</v>
      </c>
      <c r="AO28" t="e">
        <f t="shared" si="17"/>
        <v>#DIV/0!</v>
      </c>
      <c r="AP28" t="e">
        <f t="shared" si="17"/>
        <v>#DIV/0!</v>
      </c>
      <c r="AQ28" t="e">
        <f t="shared" si="17"/>
        <v>#DIV/0!</v>
      </c>
      <c r="AR28" t="e">
        <f t="shared" si="17"/>
        <v>#DIV/0!</v>
      </c>
      <c r="AS28" t="e">
        <f t="shared" si="17"/>
        <v>#DIV/0!</v>
      </c>
      <c r="AT28" t="e">
        <f t="shared" si="17"/>
        <v>#DIV/0!</v>
      </c>
      <c r="AV28" t="e">
        <f t="shared" si="3"/>
        <v>#DIV/0!</v>
      </c>
    </row>
    <row r="29" spans="1:48" x14ac:dyDescent="0.35">
      <c r="B29" t="s">
        <v>19</v>
      </c>
      <c r="C29" t="s">
        <v>15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f t="shared" si="1"/>
        <v>0</v>
      </c>
      <c r="Y29">
        <f t="shared" si="11"/>
        <v>0</v>
      </c>
      <c r="Z29" t="s">
        <v>15</v>
      </c>
      <c r="AV29" t="e">
        <f t="shared" si="3"/>
        <v>#DIV/0!</v>
      </c>
    </row>
    <row r="30" spans="1:48" x14ac:dyDescent="0.35">
      <c r="A30">
        <v>2</v>
      </c>
      <c r="B30" t="s">
        <v>19</v>
      </c>
      <c r="C30" t="s">
        <v>7</v>
      </c>
      <c r="D30">
        <v>1</v>
      </c>
      <c r="E30">
        <v>0</v>
      </c>
      <c r="F30">
        <v>4</v>
      </c>
      <c r="G30">
        <v>6</v>
      </c>
      <c r="H30">
        <v>2</v>
      </c>
      <c r="I30">
        <v>5</v>
      </c>
      <c r="J30">
        <v>1</v>
      </c>
      <c r="K30">
        <v>4</v>
      </c>
      <c r="L30">
        <v>0</v>
      </c>
      <c r="M30">
        <v>3</v>
      </c>
      <c r="N30">
        <v>2</v>
      </c>
      <c r="O30">
        <v>4</v>
      </c>
      <c r="P30">
        <v>1</v>
      </c>
      <c r="Q30">
        <v>2</v>
      </c>
      <c r="R30">
        <v>2</v>
      </c>
      <c r="S30">
        <v>2</v>
      </c>
      <c r="T30">
        <v>5</v>
      </c>
      <c r="U30">
        <v>3</v>
      </c>
      <c r="V30">
        <v>3</v>
      </c>
      <c r="W30">
        <v>1</v>
      </c>
      <c r="X30">
        <f t="shared" si="1"/>
        <v>2.5499999999999998</v>
      </c>
      <c r="Y30">
        <f t="shared" si="11"/>
        <v>2</v>
      </c>
      <c r="Z30" t="s">
        <v>7</v>
      </c>
      <c r="AA30">
        <f t="shared" ref="AA30:AT30" si="18">D30/$Y30</f>
        <v>0.5</v>
      </c>
      <c r="AB30">
        <f t="shared" si="18"/>
        <v>0</v>
      </c>
      <c r="AC30">
        <f t="shared" si="18"/>
        <v>2</v>
      </c>
      <c r="AD30">
        <f t="shared" si="18"/>
        <v>3</v>
      </c>
      <c r="AE30">
        <f t="shared" si="18"/>
        <v>1</v>
      </c>
      <c r="AF30">
        <f t="shared" si="18"/>
        <v>2.5</v>
      </c>
      <c r="AG30">
        <f t="shared" si="18"/>
        <v>0.5</v>
      </c>
      <c r="AH30">
        <f t="shared" si="18"/>
        <v>2</v>
      </c>
      <c r="AI30">
        <f t="shared" si="18"/>
        <v>0</v>
      </c>
      <c r="AJ30">
        <f t="shared" si="18"/>
        <v>1.5</v>
      </c>
      <c r="AK30">
        <f t="shared" si="18"/>
        <v>1</v>
      </c>
      <c r="AL30">
        <f t="shared" si="18"/>
        <v>2</v>
      </c>
      <c r="AM30">
        <f t="shared" si="18"/>
        <v>0.5</v>
      </c>
      <c r="AN30">
        <f t="shared" si="18"/>
        <v>1</v>
      </c>
      <c r="AO30">
        <f t="shared" si="18"/>
        <v>1</v>
      </c>
      <c r="AP30">
        <f t="shared" si="18"/>
        <v>1</v>
      </c>
      <c r="AQ30">
        <f t="shared" si="18"/>
        <v>2.5</v>
      </c>
      <c r="AR30">
        <f t="shared" si="18"/>
        <v>1.5</v>
      </c>
      <c r="AS30">
        <f t="shared" si="18"/>
        <v>1.5</v>
      </c>
      <c r="AT30">
        <f t="shared" si="18"/>
        <v>0.5</v>
      </c>
      <c r="AV30">
        <f t="shared" si="3"/>
        <v>1.2749999999999999</v>
      </c>
    </row>
    <row r="31" spans="1:48" x14ac:dyDescent="0.35">
      <c r="B31" t="s">
        <v>19</v>
      </c>
      <c r="C31" t="s">
        <v>15</v>
      </c>
      <c r="D31">
        <v>0</v>
      </c>
      <c r="E31">
        <v>0</v>
      </c>
      <c r="F31">
        <v>0</v>
      </c>
      <c r="G31">
        <v>0</v>
      </c>
      <c r="H31">
        <v>0</v>
      </c>
      <c r="I31">
        <v>-2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-2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f t="shared" si="1"/>
        <v>-0.2</v>
      </c>
      <c r="Y31">
        <f t="shared" si="11"/>
        <v>0</v>
      </c>
      <c r="Z31" t="s">
        <v>15</v>
      </c>
      <c r="AV31" t="e">
        <f t="shared" si="3"/>
        <v>#DIV/0!</v>
      </c>
    </row>
    <row r="32" spans="1:48" x14ac:dyDescent="0.35">
      <c r="A32">
        <v>3</v>
      </c>
      <c r="B32" t="s">
        <v>19</v>
      </c>
      <c r="C32" t="s">
        <v>42</v>
      </c>
      <c r="D32">
        <v>2</v>
      </c>
      <c r="E32">
        <v>2</v>
      </c>
      <c r="F32">
        <v>5</v>
      </c>
      <c r="G32">
        <v>5</v>
      </c>
      <c r="H32">
        <v>2</v>
      </c>
      <c r="I32">
        <v>3</v>
      </c>
      <c r="J32">
        <v>2</v>
      </c>
      <c r="K32">
        <v>5</v>
      </c>
      <c r="L32">
        <v>2</v>
      </c>
      <c r="M32">
        <v>4</v>
      </c>
      <c r="N32">
        <v>2</v>
      </c>
      <c r="O32">
        <v>4</v>
      </c>
      <c r="P32">
        <v>2</v>
      </c>
      <c r="Q32">
        <v>2</v>
      </c>
      <c r="R32">
        <v>3</v>
      </c>
      <c r="S32">
        <v>2</v>
      </c>
      <c r="T32">
        <v>4</v>
      </c>
      <c r="U32">
        <v>5</v>
      </c>
      <c r="V32">
        <v>3</v>
      </c>
      <c r="W32">
        <v>5</v>
      </c>
      <c r="X32">
        <f t="shared" si="1"/>
        <v>3.2</v>
      </c>
      <c r="Y32">
        <f t="shared" si="11"/>
        <v>3</v>
      </c>
      <c r="Z32" t="s">
        <v>42</v>
      </c>
      <c r="AA32">
        <f t="shared" ref="AA32:AT32" si="19">D32/$Y32</f>
        <v>0.66666666666666663</v>
      </c>
      <c r="AB32">
        <f t="shared" si="19"/>
        <v>0.66666666666666663</v>
      </c>
      <c r="AC32">
        <f t="shared" si="19"/>
        <v>1.6666666666666667</v>
      </c>
      <c r="AD32">
        <f t="shared" si="19"/>
        <v>1.6666666666666667</v>
      </c>
      <c r="AE32">
        <f t="shared" si="19"/>
        <v>0.66666666666666663</v>
      </c>
      <c r="AF32">
        <f t="shared" si="19"/>
        <v>1</v>
      </c>
      <c r="AG32">
        <f t="shared" si="19"/>
        <v>0.66666666666666663</v>
      </c>
      <c r="AH32">
        <f t="shared" si="19"/>
        <v>1.6666666666666667</v>
      </c>
      <c r="AI32">
        <f t="shared" si="19"/>
        <v>0.66666666666666663</v>
      </c>
      <c r="AJ32">
        <f t="shared" si="19"/>
        <v>1.3333333333333333</v>
      </c>
      <c r="AK32">
        <f t="shared" si="19"/>
        <v>0.66666666666666663</v>
      </c>
      <c r="AL32">
        <f t="shared" si="19"/>
        <v>1.3333333333333333</v>
      </c>
      <c r="AM32">
        <f t="shared" si="19"/>
        <v>0.66666666666666663</v>
      </c>
      <c r="AN32">
        <f t="shared" si="19"/>
        <v>0.66666666666666663</v>
      </c>
      <c r="AO32">
        <f t="shared" si="19"/>
        <v>1</v>
      </c>
      <c r="AP32">
        <f t="shared" si="19"/>
        <v>0.66666666666666663</v>
      </c>
      <c r="AQ32">
        <f t="shared" si="19"/>
        <v>1.3333333333333333</v>
      </c>
      <c r="AR32">
        <f t="shared" si="19"/>
        <v>1.6666666666666667</v>
      </c>
      <c r="AS32">
        <f t="shared" si="19"/>
        <v>1</v>
      </c>
      <c r="AT32">
        <f t="shared" si="19"/>
        <v>1.6666666666666667</v>
      </c>
      <c r="AV32">
        <f t="shared" si="3"/>
        <v>1.0666666666666669</v>
      </c>
    </row>
    <row r="33" spans="1:48" x14ac:dyDescent="0.35">
      <c r="B33" t="s">
        <v>19</v>
      </c>
      <c r="C33" s="1" t="s">
        <v>43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f t="shared" si="1"/>
        <v>0.05</v>
      </c>
      <c r="Y33">
        <f t="shared" si="11"/>
        <v>0</v>
      </c>
      <c r="Z33" t="s">
        <v>43</v>
      </c>
      <c r="AA33">
        <f>D33/D32</f>
        <v>0</v>
      </c>
      <c r="AB33">
        <f t="shared" ref="AB33" si="20">E33/E32</f>
        <v>0</v>
      </c>
      <c r="AC33">
        <f t="shared" ref="AC33" si="21">F33/F32</f>
        <v>0</v>
      </c>
      <c r="AD33">
        <f t="shared" ref="AD33" si="22">G33/G32</f>
        <v>0</v>
      </c>
      <c r="AE33">
        <f t="shared" ref="AE33" si="23">H33/H32</f>
        <v>0</v>
      </c>
      <c r="AF33">
        <f t="shared" ref="AF33" si="24">I33/I32</f>
        <v>0</v>
      </c>
      <c r="AG33">
        <f t="shared" ref="AG33" si="25">J33/J32</f>
        <v>0</v>
      </c>
      <c r="AH33">
        <f t="shared" ref="AH33" si="26">K33/K32</f>
        <v>0.2</v>
      </c>
      <c r="AI33">
        <f t="shared" ref="AI33" si="27">L33/L32</f>
        <v>0</v>
      </c>
      <c r="AJ33">
        <f t="shared" ref="AJ33" si="28">M33/M32</f>
        <v>0</v>
      </c>
      <c r="AK33">
        <f t="shared" ref="AK33" si="29">N33/N32</f>
        <v>0</v>
      </c>
      <c r="AL33">
        <f t="shared" ref="AL33" si="30">O33/O32</f>
        <v>0</v>
      </c>
      <c r="AM33">
        <f t="shared" ref="AM33" si="31">P33/P32</f>
        <v>0</v>
      </c>
      <c r="AN33">
        <f t="shared" ref="AN33" si="32">Q33/Q32</f>
        <v>0</v>
      </c>
      <c r="AO33">
        <f t="shared" ref="AO33" si="33">R33/R32</f>
        <v>0</v>
      </c>
      <c r="AP33">
        <f t="shared" ref="AP33" si="34">S33/S32</f>
        <v>0</v>
      </c>
      <c r="AQ33">
        <f t="shared" ref="AQ33" si="35">T33/T32</f>
        <v>0</v>
      </c>
      <c r="AR33">
        <f t="shared" ref="AR33" si="36">U33/U32</f>
        <v>0</v>
      </c>
      <c r="AS33">
        <f t="shared" ref="AS33" si="37">V33/V32</f>
        <v>0</v>
      </c>
      <c r="AT33">
        <f t="shared" ref="AT33" si="38">W33/W32</f>
        <v>0</v>
      </c>
      <c r="AV33">
        <f t="shared" si="3"/>
        <v>0.01</v>
      </c>
    </row>
    <row r="34" spans="1:48" x14ac:dyDescent="0.35">
      <c r="C34" t="s">
        <v>72</v>
      </c>
      <c r="Z34" t="s">
        <v>72</v>
      </c>
      <c r="AA34">
        <f>D32/(D33+1)</f>
        <v>2</v>
      </c>
      <c r="AB34">
        <f t="shared" ref="AB34:AT34" si="39">E32/(E33+1)</f>
        <v>2</v>
      </c>
      <c r="AC34">
        <f t="shared" si="39"/>
        <v>5</v>
      </c>
      <c r="AD34">
        <f t="shared" si="39"/>
        <v>5</v>
      </c>
      <c r="AE34">
        <f t="shared" si="39"/>
        <v>2</v>
      </c>
      <c r="AF34">
        <f t="shared" si="39"/>
        <v>3</v>
      </c>
      <c r="AG34">
        <f t="shared" si="39"/>
        <v>2</v>
      </c>
      <c r="AH34">
        <f t="shared" si="39"/>
        <v>2.5</v>
      </c>
      <c r="AI34">
        <f t="shared" si="39"/>
        <v>2</v>
      </c>
      <c r="AJ34">
        <f t="shared" si="39"/>
        <v>4</v>
      </c>
      <c r="AK34">
        <f t="shared" si="39"/>
        <v>2</v>
      </c>
      <c r="AL34">
        <f t="shared" si="39"/>
        <v>4</v>
      </c>
      <c r="AM34">
        <f t="shared" si="39"/>
        <v>2</v>
      </c>
      <c r="AN34">
        <f t="shared" si="39"/>
        <v>2</v>
      </c>
      <c r="AO34">
        <f t="shared" si="39"/>
        <v>3</v>
      </c>
      <c r="AP34">
        <f t="shared" si="39"/>
        <v>2</v>
      </c>
      <c r="AQ34">
        <f t="shared" si="39"/>
        <v>4</v>
      </c>
      <c r="AR34">
        <f t="shared" si="39"/>
        <v>5</v>
      </c>
      <c r="AS34">
        <f t="shared" si="39"/>
        <v>3</v>
      </c>
      <c r="AT34">
        <f t="shared" si="39"/>
        <v>5</v>
      </c>
      <c r="AV34">
        <f t="shared" si="3"/>
        <v>3.0750000000000002</v>
      </c>
    </row>
    <row r="35" spans="1:48" x14ac:dyDescent="0.35">
      <c r="A35">
        <v>2</v>
      </c>
      <c r="B35" t="s">
        <v>19</v>
      </c>
      <c r="C35" t="s">
        <v>20</v>
      </c>
      <c r="D35">
        <v>3</v>
      </c>
      <c r="E35">
        <v>3</v>
      </c>
      <c r="F35">
        <v>3</v>
      </c>
      <c r="G35">
        <v>3</v>
      </c>
      <c r="H35">
        <v>3</v>
      </c>
      <c r="I35">
        <v>3</v>
      </c>
      <c r="J35">
        <v>2</v>
      </c>
      <c r="K35">
        <v>3</v>
      </c>
      <c r="L35">
        <v>3</v>
      </c>
      <c r="M35">
        <v>3</v>
      </c>
      <c r="N35">
        <v>3</v>
      </c>
      <c r="O35">
        <v>3</v>
      </c>
      <c r="P35">
        <v>3</v>
      </c>
      <c r="Q35">
        <v>3</v>
      </c>
      <c r="R35">
        <v>3</v>
      </c>
      <c r="S35">
        <v>3</v>
      </c>
      <c r="T35">
        <v>3</v>
      </c>
      <c r="U35">
        <v>3</v>
      </c>
      <c r="V35">
        <v>3</v>
      </c>
      <c r="W35">
        <v>3</v>
      </c>
      <c r="X35">
        <f t="shared" si="1"/>
        <v>2.95</v>
      </c>
      <c r="Y35">
        <f t="shared" ref="Y35:Y49" si="40">A35</f>
        <v>2</v>
      </c>
      <c r="Z35" t="s">
        <v>20</v>
      </c>
      <c r="AA35">
        <f t="shared" ref="AA35:AJ36" si="41">D35/$Y35</f>
        <v>1.5</v>
      </c>
      <c r="AB35">
        <f t="shared" si="41"/>
        <v>1.5</v>
      </c>
      <c r="AC35">
        <f t="shared" si="41"/>
        <v>1.5</v>
      </c>
      <c r="AD35">
        <f t="shared" si="41"/>
        <v>1.5</v>
      </c>
      <c r="AE35">
        <f t="shared" si="41"/>
        <v>1.5</v>
      </c>
      <c r="AF35">
        <f t="shared" si="41"/>
        <v>1.5</v>
      </c>
      <c r="AG35">
        <f t="shared" si="41"/>
        <v>1</v>
      </c>
      <c r="AH35">
        <f t="shared" si="41"/>
        <v>1.5</v>
      </c>
      <c r="AI35">
        <f t="shared" si="41"/>
        <v>1.5</v>
      </c>
      <c r="AJ35">
        <f t="shared" si="41"/>
        <v>1.5</v>
      </c>
      <c r="AK35">
        <f t="shared" ref="AK35:AT36" si="42">N35/$Y35</f>
        <v>1.5</v>
      </c>
      <c r="AL35">
        <f t="shared" si="42"/>
        <v>1.5</v>
      </c>
      <c r="AM35">
        <f t="shared" si="42"/>
        <v>1.5</v>
      </c>
      <c r="AN35">
        <f t="shared" si="42"/>
        <v>1.5</v>
      </c>
      <c r="AO35">
        <f t="shared" si="42"/>
        <v>1.5</v>
      </c>
      <c r="AP35">
        <f t="shared" si="42"/>
        <v>1.5</v>
      </c>
      <c r="AQ35">
        <f t="shared" si="42"/>
        <v>1.5</v>
      </c>
      <c r="AR35">
        <f t="shared" si="42"/>
        <v>1.5</v>
      </c>
      <c r="AS35">
        <f t="shared" si="42"/>
        <v>1.5</v>
      </c>
      <c r="AT35">
        <f t="shared" si="42"/>
        <v>1.5</v>
      </c>
      <c r="AV35">
        <f t="shared" si="3"/>
        <v>1.4750000000000001</v>
      </c>
    </row>
    <row r="36" spans="1:48" x14ac:dyDescent="0.35">
      <c r="A36">
        <v>2</v>
      </c>
      <c r="B36" t="s">
        <v>19</v>
      </c>
      <c r="C36" t="s">
        <v>21</v>
      </c>
      <c r="D36">
        <v>2</v>
      </c>
      <c r="E36">
        <v>2</v>
      </c>
      <c r="F36">
        <v>3</v>
      </c>
      <c r="G36">
        <v>3</v>
      </c>
      <c r="H36">
        <v>2</v>
      </c>
      <c r="I36">
        <v>3</v>
      </c>
      <c r="J36">
        <v>1</v>
      </c>
      <c r="K36">
        <v>3</v>
      </c>
      <c r="L36">
        <v>2</v>
      </c>
      <c r="M36">
        <v>3</v>
      </c>
      <c r="N36">
        <v>2</v>
      </c>
      <c r="O36">
        <v>2</v>
      </c>
      <c r="P36">
        <v>2</v>
      </c>
      <c r="Q36">
        <v>3</v>
      </c>
      <c r="R36">
        <v>2</v>
      </c>
      <c r="S36">
        <v>2</v>
      </c>
      <c r="T36">
        <v>3</v>
      </c>
      <c r="U36">
        <v>3</v>
      </c>
      <c r="V36">
        <v>3</v>
      </c>
      <c r="W36">
        <v>2</v>
      </c>
      <c r="X36">
        <f t="shared" si="1"/>
        <v>2.4</v>
      </c>
      <c r="Y36">
        <f t="shared" si="40"/>
        <v>2</v>
      </c>
      <c r="Z36" t="s">
        <v>21</v>
      </c>
      <c r="AA36">
        <f t="shared" si="41"/>
        <v>1</v>
      </c>
      <c r="AB36">
        <f t="shared" si="41"/>
        <v>1</v>
      </c>
      <c r="AC36">
        <f t="shared" si="41"/>
        <v>1.5</v>
      </c>
      <c r="AD36">
        <f t="shared" si="41"/>
        <v>1.5</v>
      </c>
      <c r="AE36">
        <f t="shared" si="41"/>
        <v>1</v>
      </c>
      <c r="AF36">
        <f t="shared" si="41"/>
        <v>1.5</v>
      </c>
      <c r="AG36">
        <f t="shared" si="41"/>
        <v>0.5</v>
      </c>
      <c r="AH36">
        <f t="shared" si="41"/>
        <v>1.5</v>
      </c>
      <c r="AI36">
        <f t="shared" si="41"/>
        <v>1</v>
      </c>
      <c r="AJ36">
        <f t="shared" si="41"/>
        <v>1.5</v>
      </c>
      <c r="AK36">
        <f t="shared" si="42"/>
        <v>1</v>
      </c>
      <c r="AL36">
        <f t="shared" si="42"/>
        <v>1</v>
      </c>
      <c r="AM36">
        <f t="shared" si="42"/>
        <v>1</v>
      </c>
      <c r="AN36">
        <f t="shared" si="42"/>
        <v>1.5</v>
      </c>
      <c r="AO36">
        <f t="shared" si="42"/>
        <v>1</v>
      </c>
      <c r="AP36">
        <f t="shared" si="42"/>
        <v>1</v>
      </c>
      <c r="AQ36">
        <f t="shared" si="42"/>
        <v>1.5</v>
      </c>
      <c r="AR36">
        <f t="shared" si="42"/>
        <v>1.5</v>
      </c>
      <c r="AS36">
        <f t="shared" si="42"/>
        <v>1.5</v>
      </c>
      <c r="AT36">
        <f t="shared" si="42"/>
        <v>1</v>
      </c>
      <c r="AV36">
        <f t="shared" si="3"/>
        <v>1.2</v>
      </c>
    </row>
    <row r="37" spans="1:48" x14ac:dyDescent="0.35">
      <c r="B37" t="s">
        <v>19</v>
      </c>
      <c r="C37" t="s">
        <v>22</v>
      </c>
      <c r="Y37">
        <f t="shared" si="40"/>
        <v>0</v>
      </c>
      <c r="Z37" t="s">
        <v>22</v>
      </c>
      <c r="AV37" t="e">
        <f t="shared" si="3"/>
        <v>#DIV/0!</v>
      </c>
    </row>
    <row r="38" spans="1:48" x14ac:dyDescent="0.35">
      <c r="A38">
        <v>11</v>
      </c>
      <c r="B38" t="s">
        <v>23</v>
      </c>
      <c r="C38" t="s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2</v>
      </c>
      <c r="S38">
        <v>0</v>
      </c>
      <c r="T38">
        <v>0</v>
      </c>
      <c r="U38">
        <v>0</v>
      </c>
      <c r="V38">
        <v>0</v>
      </c>
      <c r="W38">
        <v>0</v>
      </c>
      <c r="X38">
        <f t="shared" si="1"/>
        <v>0.1</v>
      </c>
      <c r="Y38">
        <f t="shared" si="40"/>
        <v>11</v>
      </c>
      <c r="Z38" t="s">
        <v>0</v>
      </c>
      <c r="AA38">
        <f t="shared" ref="AA38:AT38" si="43">D38/$Y38</f>
        <v>0</v>
      </c>
      <c r="AB38">
        <f t="shared" si="43"/>
        <v>0</v>
      </c>
      <c r="AC38">
        <f t="shared" si="43"/>
        <v>0</v>
      </c>
      <c r="AD38">
        <f t="shared" si="43"/>
        <v>0</v>
      </c>
      <c r="AE38">
        <f t="shared" si="43"/>
        <v>0</v>
      </c>
      <c r="AF38">
        <f t="shared" si="43"/>
        <v>0</v>
      </c>
      <c r="AG38">
        <f t="shared" si="43"/>
        <v>0</v>
      </c>
      <c r="AH38">
        <f t="shared" si="43"/>
        <v>0</v>
      </c>
      <c r="AI38">
        <f t="shared" si="43"/>
        <v>0</v>
      </c>
      <c r="AJ38">
        <f t="shared" si="43"/>
        <v>0</v>
      </c>
      <c r="AK38">
        <f t="shared" si="43"/>
        <v>0</v>
      </c>
      <c r="AL38">
        <f t="shared" si="43"/>
        <v>0</v>
      </c>
      <c r="AM38">
        <f t="shared" si="43"/>
        <v>0</v>
      </c>
      <c r="AN38">
        <f t="shared" si="43"/>
        <v>0</v>
      </c>
      <c r="AO38">
        <f t="shared" si="43"/>
        <v>0.18181818181818182</v>
      </c>
      <c r="AP38">
        <f t="shared" si="43"/>
        <v>0</v>
      </c>
      <c r="AQ38">
        <f t="shared" si="43"/>
        <v>0</v>
      </c>
      <c r="AR38">
        <f t="shared" si="43"/>
        <v>0</v>
      </c>
      <c r="AS38">
        <f t="shared" si="43"/>
        <v>0</v>
      </c>
      <c r="AT38">
        <f t="shared" si="43"/>
        <v>0</v>
      </c>
      <c r="AV38">
        <f t="shared" si="3"/>
        <v>9.0909090909090905E-3</v>
      </c>
    </row>
    <row r="39" spans="1:48" x14ac:dyDescent="0.35">
      <c r="B39" t="s">
        <v>23</v>
      </c>
      <c r="C39" t="s">
        <v>15</v>
      </c>
      <c r="D39">
        <v>0</v>
      </c>
      <c r="E39">
        <v>-1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-1</v>
      </c>
      <c r="S39">
        <v>0</v>
      </c>
      <c r="T39">
        <v>0</v>
      </c>
      <c r="U39">
        <v>0</v>
      </c>
      <c r="V39">
        <v>0</v>
      </c>
      <c r="W39">
        <v>0</v>
      </c>
      <c r="X39">
        <f t="shared" si="1"/>
        <v>-0.1</v>
      </c>
      <c r="Y39">
        <f t="shared" si="40"/>
        <v>0</v>
      </c>
      <c r="Z39" t="s">
        <v>15</v>
      </c>
      <c r="AV39" t="e">
        <f t="shared" si="3"/>
        <v>#DIV/0!</v>
      </c>
    </row>
    <row r="40" spans="1:48" x14ac:dyDescent="0.35">
      <c r="A40">
        <v>7</v>
      </c>
      <c r="B40" t="s">
        <v>23</v>
      </c>
      <c r="C40" t="s">
        <v>4</v>
      </c>
      <c r="D40">
        <v>0</v>
      </c>
      <c r="E40">
        <v>1</v>
      </c>
      <c r="F40">
        <v>4</v>
      </c>
      <c r="G40">
        <v>0</v>
      </c>
      <c r="H40">
        <v>2</v>
      </c>
      <c r="I40">
        <v>4</v>
      </c>
      <c r="J40">
        <v>0</v>
      </c>
      <c r="K40">
        <v>0</v>
      </c>
      <c r="L40">
        <v>0</v>
      </c>
      <c r="M40">
        <v>1</v>
      </c>
      <c r="N40">
        <v>3</v>
      </c>
      <c r="O40">
        <v>1</v>
      </c>
      <c r="P40">
        <v>0</v>
      </c>
      <c r="Q40">
        <v>4</v>
      </c>
      <c r="R40">
        <v>1</v>
      </c>
      <c r="S40">
        <v>0</v>
      </c>
      <c r="T40">
        <v>2</v>
      </c>
      <c r="U40">
        <v>1</v>
      </c>
      <c r="V40">
        <v>3</v>
      </c>
      <c r="W40">
        <v>1</v>
      </c>
      <c r="X40">
        <f t="shared" si="1"/>
        <v>1.4</v>
      </c>
      <c r="Y40">
        <f t="shared" si="40"/>
        <v>7</v>
      </c>
      <c r="Z40" t="s">
        <v>4</v>
      </c>
      <c r="AA40">
        <f t="shared" ref="AA40:AT40" si="44">D40/$Y40</f>
        <v>0</v>
      </c>
      <c r="AB40">
        <f t="shared" si="44"/>
        <v>0.14285714285714285</v>
      </c>
      <c r="AC40">
        <f t="shared" si="44"/>
        <v>0.5714285714285714</v>
      </c>
      <c r="AD40">
        <f t="shared" si="44"/>
        <v>0</v>
      </c>
      <c r="AE40">
        <f t="shared" si="44"/>
        <v>0.2857142857142857</v>
      </c>
      <c r="AF40">
        <f t="shared" si="44"/>
        <v>0.5714285714285714</v>
      </c>
      <c r="AG40">
        <f t="shared" si="44"/>
        <v>0</v>
      </c>
      <c r="AH40">
        <f t="shared" si="44"/>
        <v>0</v>
      </c>
      <c r="AI40">
        <f t="shared" si="44"/>
        <v>0</v>
      </c>
      <c r="AJ40">
        <f t="shared" si="44"/>
        <v>0.14285714285714285</v>
      </c>
      <c r="AK40">
        <f t="shared" si="44"/>
        <v>0.42857142857142855</v>
      </c>
      <c r="AL40">
        <f t="shared" si="44"/>
        <v>0.14285714285714285</v>
      </c>
      <c r="AM40">
        <f t="shared" si="44"/>
        <v>0</v>
      </c>
      <c r="AN40">
        <f t="shared" si="44"/>
        <v>0.5714285714285714</v>
      </c>
      <c r="AO40">
        <f t="shared" si="44"/>
        <v>0.14285714285714285</v>
      </c>
      <c r="AP40">
        <f t="shared" si="44"/>
        <v>0</v>
      </c>
      <c r="AQ40">
        <f t="shared" si="44"/>
        <v>0.2857142857142857</v>
      </c>
      <c r="AR40">
        <f t="shared" si="44"/>
        <v>0.14285714285714285</v>
      </c>
      <c r="AS40">
        <f t="shared" si="44"/>
        <v>0.42857142857142855</v>
      </c>
      <c r="AT40">
        <f t="shared" si="44"/>
        <v>0.14285714285714285</v>
      </c>
      <c r="AV40">
        <f t="shared" si="3"/>
        <v>0.19999999999999996</v>
      </c>
    </row>
    <row r="41" spans="1:48" x14ac:dyDescent="0.35">
      <c r="B41" t="s">
        <v>23</v>
      </c>
      <c r="C41" t="s">
        <v>15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f t="shared" si="1"/>
        <v>0</v>
      </c>
      <c r="Y41">
        <f t="shared" si="40"/>
        <v>0</v>
      </c>
      <c r="Z41" t="s">
        <v>15</v>
      </c>
      <c r="AV41" t="e">
        <f t="shared" si="3"/>
        <v>#DIV/0!</v>
      </c>
    </row>
    <row r="42" spans="1:48" x14ac:dyDescent="0.35">
      <c r="A42">
        <v>6</v>
      </c>
      <c r="B42" t="s">
        <v>23</v>
      </c>
      <c r="C42" t="s">
        <v>5</v>
      </c>
      <c r="D42">
        <v>2</v>
      </c>
      <c r="E42">
        <v>2</v>
      </c>
      <c r="F42">
        <v>5</v>
      </c>
      <c r="G42">
        <v>3</v>
      </c>
      <c r="H42">
        <v>1</v>
      </c>
      <c r="I42">
        <v>1</v>
      </c>
      <c r="J42">
        <v>1</v>
      </c>
      <c r="K42">
        <v>2</v>
      </c>
      <c r="L42">
        <v>0</v>
      </c>
      <c r="M42">
        <v>1</v>
      </c>
      <c r="N42">
        <v>2</v>
      </c>
      <c r="O42">
        <v>4</v>
      </c>
      <c r="P42">
        <v>1</v>
      </c>
      <c r="Q42">
        <v>2</v>
      </c>
      <c r="R42">
        <v>3</v>
      </c>
      <c r="S42">
        <v>4</v>
      </c>
      <c r="T42">
        <v>1</v>
      </c>
      <c r="U42">
        <v>1</v>
      </c>
      <c r="V42">
        <v>6</v>
      </c>
      <c r="W42">
        <v>2</v>
      </c>
      <c r="X42">
        <f t="shared" si="1"/>
        <v>2.2000000000000002</v>
      </c>
      <c r="Y42">
        <f t="shared" si="40"/>
        <v>6</v>
      </c>
      <c r="Z42" t="s">
        <v>5</v>
      </c>
      <c r="AA42">
        <f t="shared" ref="AA42:AT42" si="45">D42/$Y42</f>
        <v>0.33333333333333331</v>
      </c>
      <c r="AB42">
        <f t="shared" si="45"/>
        <v>0.33333333333333331</v>
      </c>
      <c r="AC42">
        <f t="shared" si="45"/>
        <v>0.83333333333333337</v>
      </c>
      <c r="AD42">
        <f t="shared" si="45"/>
        <v>0.5</v>
      </c>
      <c r="AE42">
        <f t="shared" si="45"/>
        <v>0.16666666666666666</v>
      </c>
      <c r="AF42">
        <f t="shared" si="45"/>
        <v>0.16666666666666666</v>
      </c>
      <c r="AG42">
        <f t="shared" si="45"/>
        <v>0.16666666666666666</v>
      </c>
      <c r="AH42">
        <f t="shared" si="45"/>
        <v>0.33333333333333331</v>
      </c>
      <c r="AI42">
        <f t="shared" si="45"/>
        <v>0</v>
      </c>
      <c r="AJ42">
        <f t="shared" si="45"/>
        <v>0.16666666666666666</v>
      </c>
      <c r="AK42">
        <f t="shared" si="45"/>
        <v>0.33333333333333331</v>
      </c>
      <c r="AL42">
        <f t="shared" si="45"/>
        <v>0.66666666666666663</v>
      </c>
      <c r="AM42">
        <f t="shared" si="45"/>
        <v>0.16666666666666666</v>
      </c>
      <c r="AN42">
        <f t="shared" si="45"/>
        <v>0.33333333333333331</v>
      </c>
      <c r="AO42">
        <f t="shared" si="45"/>
        <v>0.5</v>
      </c>
      <c r="AP42">
        <f t="shared" si="45"/>
        <v>0.66666666666666663</v>
      </c>
      <c r="AQ42">
        <f t="shared" si="45"/>
        <v>0.16666666666666666</v>
      </c>
      <c r="AR42">
        <f t="shared" si="45"/>
        <v>0.16666666666666666</v>
      </c>
      <c r="AS42">
        <f t="shared" si="45"/>
        <v>1</v>
      </c>
      <c r="AT42">
        <f t="shared" si="45"/>
        <v>0.33333333333333331</v>
      </c>
      <c r="AV42">
        <f t="shared" si="3"/>
        <v>0.36666666666666664</v>
      </c>
    </row>
    <row r="43" spans="1:48" x14ac:dyDescent="0.35">
      <c r="B43" t="s">
        <v>23</v>
      </c>
      <c r="C43" t="s">
        <v>15</v>
      </c>
      <c r="D43">
        <v>0</v>
      </c>
      <c r="E43">
        <v>-2</v>
      </c>
      <c r="F43">
        <v>0</v>
      </c>
      <c r="G43">
        <v>0</v>
      </c>
      <c r="H43">
        <v>-2</v>
      </c>
      <c r="I43">
        <v>-2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-1</v>
      </c>
      <c r="Q43">
        <v>-1</v>
      </c>
      <c r="R43">
        <v>-1</v>
      </c>
      <c r="S43">
        <v>0</v>
      </c>
      <c r="T43">
        <v>0</v>
      </c>
      <c r="U43">
        <v>0</v>
      </c>
      <c r="V43">
        <v>-1</v>
      </c>
      <c r="W43">
        <v>-1</v>
      </c>
      <c r="X43">
        <f t="shared" si="1"/>
        <v>-0.55000000000000004</v>
      </c>
      <c r="Y43">
        <f t="shared" si="40"/>
        <v>0</v>
      </c>
      <c r="Z43" t="s">
        <v>15</v>
      </c>
      <c r="AV43" t="e">
        <f t="shared" si="3"/>
        <v>#DIV/0!</v>
      </c>
    </row>
    <row r="44" spans="1:48" x14ac:dyDescent="0.35">
      <c r="A44">
        <v>4</v>
      </c>
      <c r="B44" t="s">
        <v>23</v>
      </c>
      <c r="C44" t="s">
        <v>6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1</v>
      </c>
      <c r="O44">
        <v>0</v>
      </c>
      <c r="P44">
        <v>0</v>
      </c>
      <c r="Q44">
        <v>1</v>
      </c>
      <c r="R44">
        <v>2</v>
      </c>
      <c r="S44">
        <v>0</v>
      </c>
      <c r="T44">
        <v>0</v>
      </c>
      <c r="U44">
        <v>0</v>
      </c>
      <c r="V44">
        <v>1</v>
      </c>
      <c r="W44">
        <v>2</v>
      </c>
      <c r="X44">
        <f t="shared" si="1"/>
        <v>0.45</v>
      </c>
      <c r="Y44">
        <f t="shared" si="40"/>
        <v>4</v>
      </c>
      <c r="Z44" t="s">
        <v>6</v>
      </c>
      <c r="AA44">
        <f t="shared" ref="AA44:AT44" si="46">D44/$Y44</f>
        <v>0</v>
      </c>
      <c r="AB44">
        <f t="shared" si="46"/>
        <v>0</v>
      </c>
      <c r="AC44">
        <f t="shared" si="46"/>
        <v>0.25</v>
      </c>
      <c r="AD44">
        <f t="shared" si="46"/>
        <v>0</v>
      </c>
      <c r="AE44">
        <f t="shared" si="46"/>
        <v>0</v>
      </c>
      <c r="AF44">
        <f t="shared" si="46"/>
        <v>0</v>
      </c>
      <c r="AG44">
        <f t="shared" si="46"/>
        <v>0</v>
      </c>
      <c r="AH44">
        <f t="shared" si="46"/>
        <v>0.25</v>
      </c>
      <c r="AI44">
        <f t="shared" si="46"/>
        <v>0</v>
      </c>
      <c r="AJ44">
        <f t="shared" si="46"/>
        <v>0</v>
      </c>
      <c r="AK44">
        <f t="shared" si="46"/>
        <v>0.25</v>
      </c>
      <c r="AL44">
        <f t="shared" si="46"/>
        <v>0</v>
      </c>
      <c r="AM44">
        <f t="shared" si="46"/>
        <v>0</v>
      </c>
      <c r="AN44">
        <f t="shared" si="46"/>
        <v>0.25</v>
      </c>
      <c r="AO44">
        <f t="shared" si="46"/>
        <v>0.5</v>
      </c>
      <c r="AP44">
        <f t="shared" si="46"/>
        <v>0</v>
      </c>
      <c r="AQ44">
        <f t="shared" si="46"/>
        <v>0</v>
      </c>
      <c r="AR44">
        <f t="shared" si="46"/>
        <v>0</v>
      </c>
      <c r="AS44">
        <f t="shared" si="46"/>
        <v>0.25</v>
      </c>
      <c r="AT44">
        <f t="shared" si="46"/>
        <v>0.5</v>
      </c>
      <c r="AV44">
        <f t="shared" si="3"/>
        <v>0.1125</v>
      </c>
    </row>
    <row r="45" spans="1:48" x14ac:dyDescent="0.35">
      <c r="B45" t="s">
        <v>23</v>
      </c>
      <c r="C45" t="s">
        <v>15</v>
      </c>
      <c r="D45">
        <v>0</v>
      </c>
      <c r="E45">
        <v>0</v>
      </c>
      <c r="F45">
        <v>-1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f t="shared" si="1"/>
        <v>-0.05</v>
      </c>
      <c r="Y45">
        <f t="shared" si="40"/>
        <v>0</v>
      </c>
      <c r="Z45" t="s">
        <v>15</v>
      </c>
      <c r="AV45" t="e">
        <f t="shared" si="3"/>
        <v>#DIV/0!</v>
      </c>
    </row>
    <row r="46" spans="1:48" x14ac:dyDescent="0.35">
      <c r="A46">
        <v>6</v>
      </c>
      <c r="B46" t="s">
        <v>23</v>
      </c>
      <c r="C46" t="s">
        <v>7</v>
      </c>
      <c r="D46">
        <v>1</v>
      </c>
      <c r="E46">
        <v>5</v>
      </c>
      <c r="F46">
        <v>5</v>
      </c>
      <c r="G46">
        <v>0</v>
      </c>
      <c r="H46">
        <v>2</v>
      </c>
      <c r="I46">
        <v>2</v>
      </c>
      <c r="J46">
        <v>0</v>
      </c>
      <c r="K46">
        <v>0</v>
      </c>
      <c r="L46">
        <v>0</v>
      </c>
      <c r="M46">
        <v>1</v>
      </c>
      <c r="N46">
        <v>1</v>
      </c>
      <c r="O46">
        <v>3</v>
      </c>
      <c r="P46">
        <v>0</v>
      </c>
      <c r="Q46">
        <v>4</v>
      </c>
      <c r="R46">
        <v>1</v>
      </c>
      <c r="S46">
        <v>0</v>
      </c>
      <c r="T46">
        <v>1</v>
      </c>
      <c r="U46">
        <v>2</v>
      </c>
      <c r="V46">
        <v>1</v>
      </c>
      <c r="W46">
        <v>4</v>
      </c>
      <c r="X46">
        <f t="shared" si="1"/>
        <v>1.65</v>
      </c>
      <c r="Y46">
        <f t="shared" si="40"/>
        <v>6</v>
      </c>
      <c r="Z46" t="s">
        <v>7</v>
      </c>
      <c r="AA46">
        <f t="shared" ref="AA46:AT46" si="47">D46/$Y46</f>
        <v>0.16666666666666666</v>
      </c>
      <c r="AB46">
        <f t="shared" si="47"/>
        <v>0.83333333333333337</v>
      </c>
      <c r="AC46">
        <f t="shared" si="47"/>
        <v>0.83333333333333337</v>
      </c>
      <c r="AD46">
        <f t="shared" si="47"/>
        <v>0</v>
      </c>
      <c r="AE46">
        <f t="shared" si="47"/>
        <v>0.33333333333333331</v>
      </c>
      <c r="AF46">
        <f t="shared" si="47"/>
        <v>0.33333333333333331</v>
      </c>
      <c r="AG46">
        <f t="shared" si="47"/>
        <v>0</v>
      </c>
      <c r="AH46">
        <f t="shared" si="47"/>
        <v>0</v>
      </c>
      <c r="AI46">
        <f t="shared" si="47"/>
        <v>0</v>
      </c>
      <c r="AJ46">
        <f t="shared" si="47"/>
        <v>0.16666666666666666</v>
      </c>
      <c r="AK46">
        <f t="shared" si="47"/>
        <v>0.16666666666666666</v>
      </c>
      <c r="AL46">
        <f t="shared" si="47"/>
        <v>0.5</v>
      </c>
      <c r="AM46">
        <f t="shared" si="47"/>
        <v>0</v>
      </c>
      <c r="AN46">
        <f t="shared" si="47"/>
        <v>0.66666666666666663</v>
      </c>
      <c r="AO46">
        <f t="shared" si="47"/>
        <v>0.16666666666666666</v>
      </c>
      <c r="AP46">
        <f t="shared" si="47"/>
        <v>0</v>
      </c>
      <c r="AQ46">
        <f t="shared" si="47"/>
        <v>0.16666666666666666</v>
      </c>
      <c r="AR46">
        <f t="shared" si="47"/>
        <v>0.33333333333333331</v>
      </c>
      <c r="AS46">
        <f t="shared" si="47"/>
        <v>0.16666666666666666</v>
      </c>
      <c r="AT46">
        <f t="shared" si="47"/>
        <v>0.66666666666666663</v>
      </c>
      <c r="AV46">
        <f t="shared" si="3"/>
        <v>0.27500000000000002</v>
      </c>
    </row>
    <row r="47" spans="1:48" x14ac:dyDescent="0.35">
      <c r="B47" t="s">
        <v>23</v>
      </c>
      <c r="C47" t="s">
        <v>15</v>
      </c>
      <c r="D47">
        <v>0</v>
      </c>
      <c r="E47">
        <v>0</v>
      </c>
      <c r="F47">
        <v>0</v>
      </c>
      <c r="G47">
        <v>-2</v>
      </c>
      <c r="I47">
        <v>-3</v>
      </c>
      <c r="J47">
        <v>-1</v>
      </c>
      <c r="K47">
        <v>-1</v>
      </c>
      <c r="L47">
        <v>0</v>
      </c>
      <c r="M47">
        <v>0</v>
      </c>
      <c r="N47">
        <v>-1</v>
      </c>
      <c r="O47">
        <v>0</v>
      </c>
      <c r="P47">
        <v>-2</v>
      </c>
      <c r="Q47">
        <v>0</v>
      </c>
      <c r="R47">
        <v>0</v>
      </c>
      <c r="S47">
        <v>-2</v>
      </c>
      <c r="T47">
        <v>0</v>
      </c>
      <c r="U47">
        <v>0</v>
      </c>
      <c r="V47">
        <v>-1</v>
      </c>
      <c r="W47">
        <v>0</v>
      </c>
      <c r="X47">
        <f t="shared" si="1"/>
        <v>-0.68421052631578949</v>
      </c>
      <c r="Y47">
        <f t="shared" si="40"/>
        <v>0</v>
      </c>
      <c r="Z47" t="s">
        <v>15</v>
      </c>
      <c r="AV47" t="e">
        <f t="shared" si="3"/>
        <v>#DIV/0!</v>
      </c>
    </row>
    <row r="48" spans="1:48" x14ac:dyDescent="0.35">
      <c r="A48">
        <v>5</v>
      </c>
      <c r="B48" t="s">
        <v>23</v>
      </c>
      <c r="C48" t="s">
        <v>42</v>
      </c>
      <c r="D48">
        <v>2</v>
      </c>
      <c r="E48">
        <v>3</v>
      </c>
      <c r="F48">
        <v>2</v>
      </c>
      <c r="G48">
        <v>2</v>
      </c>
      <c r="H48">
        <v>2</v>
      </c>
      <c r="I48">
        <v>2</v>
      </c>
      <c r="J48">
        <v>1</v>
      </c>
      <c r="K48">
        <v>1</v>
      </c>
      <c r="L48">
        <v>0</v>
      </c>
      <c r="M48">
        <v>1</v>
      </c>
      <c r="N48">
        <v>2</v>
      </c>
      <c r="O48">
        <v>3</v>
      </c>
      <c r="P48">
        <v>1</v>
      </c>
      <c r="Q48">
        <v>3</v>
      </c>
      <c r="R48">
        <v>4</v>
      </c>
      <c r="S48">
        <v>3</v>
      </c>
      <c r="T48">
        <v>1</v>
      </c>
      <c r="U48">
        <v>1</v>
      </c>
      <c r="V48">
        <v>6</v>
      </c>
      <c r="W48">
        <v>2</v>
      </c>
      <c r="X48">
        <f t="shared" si="1"/>
        <v>2.1</v>
      </c>
      <c r="Y48">
        <f t="shared" si="40"/>
        <v>5</v>
      </c>
      <c r="Z48" t="s">
        <v>42</v>
      </c>
      <c r="AA48">
        <f t="shared" ref="AA48:AT48" si="48">D48/$Y48</f>
        <v>0.4</v>
      </c>
      <c r="AB48">
        <f t="shared" si="48"/>
        <v>0.6</v>
      </c>
      <c r="AC48">
        <f t="shared" si="48"/>
        <v>0.4</v>
      </c>
      <c r="AD48">
        <f t="shared" si="48"/>
        <v>0.4</v>
      </c>
      <c r="AE48">
        <f t="shared" si="48"/>
        <v>0.4</v>
      </c>
      <c r="AF48">
        <f t="shared" si="48"/>
        <v>0.4</v>
      </c>
      <c r="AG48">
        <f t="shared" si="48"/>
        <v>0.2</v>
      </c>
      <c r="AH48">
        <f t="shared" si="48"/>
        <v>0.2</v>
      </c>
      <c r="AI48">
        <f t="shared" si="48"/>
        <v>0</v>
      </c>
      <c r="AJ48">
        <f t="shared" si="48"/>
        <v>0.2</v>
      </c>
      <c r="AK48">
        <f t="shared" si="48"/>
        <v>0.4</v>
      </c>
      <c r="AL48">
        <f t="shared" si="48"/>
        <v>0.6</v>
      </c>
      <c r="AM48">
        <f t="shared" si="48"/>
        <v>0.2</v>
      </c>
      <c r="AN48">
        <f t="shared" si="48"/>
        <v>0.6</v>
      </c>
      <c r="AO48">
        <f t="shared" si="48"/>
        <v>0.8</v>
      </c>
      <c r="AP48">
        <f t="shared" si="48"/>
        <v>0.6</v>
      </c>
      <c r="AQ48">
        <f t="shared" si="48"/>
        <v>0.2</v>
      </c>
      <c r="AR48">
        <f t="shared" si="48"/>
        <v>0.2</v>
      </c>
      <c r="AS48">
        <f t="shared" si="48"/>
        <v>1.2</v>
      </c>
      <c r="AT48">
        <f t="shared" si="48"/>
        <v>0.4</v>
      </c>
      <c r="AV48">
        <f t="shared" si="3"/>
        <v>0.42000000000000004</v>
      </c>
    </row>
    <row r="49" spans="1:48" x14ac:dyDescent="0.35">
      <c r="B49" t="s">
        <v>23</v>
      </c>
      <c r="C49" t="s">
        <v>43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2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f t="shared" si="1"/>
        <v>0.2</v>
      </c>
      <c r="Y49">
        <f t="shared" si="40"/>
        <v>0</v>
      </c>
      <c r="Z49" t="s">
        <v>43</v>
      </c>
      <c r="AA49">
        <f>D49/D48</f>
        <v>0</v>
      </c>
      <c r="AB49">
        <f t="shared" ref="AB49" si="49">E49/E48</f>
        <v>0</v>
      </c>
      <c r="AC49">
        <f t="shared" ref="AC49" si="50">F49/F48</f>
        <v>0</v>
      </c>
      <c r="AD49">
        <f t="shared" ref="AD49" si="51">G49/G48</f>
        <v>0</v>
      </c>
      <c r="AE49">
        <f t="shared" ref="AE49" si="52">H49/H48</f>
        <v>0</v>
      </c>
      <c r="AF49">
        <f t="shared" ref="AF49" si="53">I49/I48</f>
        <v>0.5</v>
      </c>
      <c r="AG49">
        <f t="shared" ref="AG49" si="54">J49/J48</f>
        <v>0</v>
      </c>
      <c r="AH49">
        <f t="shared" ref="AH49" si="55">K49/K48</f>
        <v>0</v>
      </c>
      <c r="AI49" t="e">
        <f t="shared" ref="AI49" si="56">L49/L48</f>
        <v>#DIV/0!</v>
      </c>
      <c r="AJ49">
        <f t="shared" ref="AJ49" si="57">M49/M48</f>
        <v>0</v>
      </c>
      <c r="AK49">
        <f t="shared" ref="AK49" si="58">N49/N48</f>
        <v>0</v>
      </c>
      <c r="AL49">
        <f t="shared" ref="AL49" si="59">O49/O48</f>
        <v>0</v>
      </c>
      <c r="AM49">
        <f t="shared" ref="AM49" si="60">P49/P48</f>
        <v>2</v>
      </c>
      <c r="AN49">
        <f t="shared" ref="AN49" si="61">Q49/Q48</f>
        <v>0</v>
      </c>
      <c r="AO49">
        <f t="shared" ref="AO49" si="62">R49/R48</f>
        <v>0</v>
      </c>
      <c r="AP49">
        <f t="shared" ref="AP49" si="63">S49/S48</f>
        <v>0</v>
      </c>
      <c r="AQ49">
        <f t="shared" ref="AQ49" si="64">T49/T48</f>
        <v>0</v>
      </c>
      <c r="AR49">
        <f t="shared" ref="AR49" si="65">U49/U48</f>
        <v>0</v>
      </c>
      <c r="AS49">
        <f t="shared" ref="AS49" si="66">V49/V48</f>
        <v>0</v>
      </c>
      <c r="AT49">
        <f t="shared" ref="AT49" si="67">W49/W48</f>
        <v>0.5</v>
      </c>
      <c r="AV49" t="e">
        <f t="shared" si="3"/>
        <v>#DIV/0!</v>
      </c>
    </row>
    <row r="50" spans="1:48" x14ac:dyDescent="0.35">
      <c r="C50" t="s">
        <v>72</v>
      </c>
      <c r="Z50" t="s">
        <v>72</v>
      </c>
      <c r="AA50">
        <f>D48/(D49+1)</f>
        <v>2</v>
      </c>
      <c r="AB50">
        <f t="shared" ref="AB50:AT50" si="68">E48/(E49+1)</f>
        <v>3</v>
      </c>
      <c r="AC50">
        <f t="shared" si="68"/>
        <v>2</v>
      </c>
      <c r="AD50">
        <f t="shared" si="68"/>
        <v>2</v>
      </c>
      <c r="AE50">
        <f t="shared" si="68"/>
        <v>2</v>
      </c>
      <c r="AF50">
        <f t="shared" si="68"/>
        <v>1</v>
      </c>
      <c r="AG50">
        <f t="shared" si="68"/>
        <v>1</v>
      </c>
      <c r="AH50">
        <f t="shared" si="68"/>
        <v>1</v>
      </c>
      <c r="AI50">
        <f t="shared" si="68"/>
        <v>0</v>
      </c>
      <c r="AJ50">
        <f t="shared" si="68"/>
        <v>1</v>
      </c>
      <c r="AK50">
        <f t="shared" si="68"/>
        <v>2</v>
      </c>
      <c r="AL50">
        <f t="shared" si="68"/>
        <v>3</v>
      </c>
      <c r="AM50">
        <f t="shared" si="68"/>
        <v>0.33333333333333331</v>
      </c>
      <c r="AN50">
        <f t="shared" si="68"/>
        <v>3</v>
      </c>
      <c r="AO50">
        <f t="shared" si="68"/>
        <v>4</v>
      </c>
      <c r="AP50">
        <f t="shared" si="68"/>
        <v>3</v>
      </c>
      <c r="AQ50">
        <f t="shared" si="68"/>
        <v>1</v>
      </c>
      <c r="AR50">
        <f t="shared" si="68"/>
        <v>1</v>
      </c>
      <c r="AS50">
        <f t="shared" si="68"/>
        <v>6</v>
      </c>
      <c r="AT50">
        <f t="shared" si="68"/>
        <v>1</v>
      </c>
      <c r="AV50">
        <f t="shared" si="3"/>
        <v>1.9666666666666663</v>
      </c>
    </row>
    <row r="51" spans="1:48" x14ac:dyDescent="0.35">
      <c r="A51">
        <v>2</v>
      </c>
      <c r="B51" t="s">
        <v>23</v>
      </c>
      <c r="C51" t="s">
        <v>20</v>
      </c>
      <c r="D51">
        <v>1</v>
      </c>
      <c r="E51">
        <v>1</v>
      </c>
      <c r="F51">
        <v>1</v>
      </c>
      <c r="G51">
        <v>2</v>
      </c>
      <c r="H51">
        <v>1</v>
      </c>
      <c r="I51">
        <v>1</v>
      </c>
      <c r="J51">
        <v>1</v>
      </c>
      <c r="K51">
        <v>1</v>
      </c>
      <c r="L51">
        <v>0</v>
      </c>
      <c r="M51">
        <v>2</v>
      </c>
      <c r="N51">
        <v>1</v>
      </c>
      <c r="O51">
        <v>1</v>
      </c>
      <c r="P51">
        <v>1</v>
      </c>
      <c r="Q51">
        <v>2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f t="shared" si="1"/>
        <v>1.1000000000000001</v>
      </c>
      <c r="Y51">
        <f t="shared" ref="Y51:Y65" si="69">A51</f>
        <v>2</v>
      </c>
      <c r="Z51" t="s">
        <v>20</v>
      </c>
      <c r="AA51">
        <f t="shared" ref="AA51:AJ52" si="70">D51/$Y51</f>
        <v>0.5</v>
      </c>
      <c r="AB51">
        <f t="shared" si="70"/>
        <v>0.5</v>
      </c>
      <c r="AC51">
        <f t="shared" si="70"/>
        <v>0.5</v>
      </c>
      <c r="AD51">
        <f t="shared" si="70"/>
        <v>1</v>
      </c>
      <c r="AE51">
        <f t="shared" si="70"/>
        <v>0.5</v>
      </c>
      <c r="AF51">
        <f t="shared" si="70"/>
        <v>0.5</v>
      </c>
      <c r="AG51">
        <f t="shared" si="70"/>
        <v>0.5</v>
      </c>
      <c r="AH51">
        <f t="shared" si="70"/>
        <v>0.5</v>
      </c>
      <c r="AI51">
        <f t="shared" si="70"/>
        <v>0</v>
      </c>
      <c r="AJ51">
        <f t="shared" si="70"/>
        <v>1</v>
      </c>
      <c r="AK51">
        <f t="shared" ref="AK51:AT52" si="71">N51/$Y51</f>
        <v>0.5</v>
      </c>
      <c r="AL51">
        <f t="shared" si="71"/>
        <v>0.5</v>
      </c>
      <c r="AM51">
        <f t="shared" si="71"/>
        <v>0.5</v>
      </c>
      <c r="AN51">
        <f t="shared" si="71"/>
        <v>1</v>
      </c>
      <c r="AO51">
        <f t="shared" si="71"/>
        <v>0.5</v>
      </c>
      <c r="AP51">
        <f t="shared" si="71"/>
        <v>0.5</v>
      </c>
      <c r="AQ51">
        <f t="shared" si="71"/>
        <v>0.5</v>
      </c>
      <c r="AR51">
        <f t="shared" si="71"/>
        <v>0.5</v>
      </c>
      <c r="AS51">
        <f t="shared" si="71"/>
        <v>0.5</v>
      </c>
      <c r="AT51">
        <f t="shared" si="71"/>
        <v>0.5</v>
      </c>
      <c r="AV51">
        <f t="shared" si="3"/>
        <v>0.55000000000000004</v>
      </c>
    </row>
    <row r="52" spans="1:48" x14ac:dyDescent="0.35">
      <c r="A52">
        <v>2</v>
      </c>
      <c r="B52" t="s">
        <v>23</v>
      </c>
      <c r="C52" t="s">
        <v>21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0</v>
      </c>
      <c r="K52">
        <v>1</v>
      </c>
      <c r="L52">
        <v>0</v>
      </c>
      <c r="M52">
        <v>0</v>
      </c>
      <c r="N52">
        <v>1</v>
      </c>
      <c r="O52">
        <v>1</v>
      </c>
      <c r="P52">
        <v>1</v>
      </c>
      <c r="Q52">
        <v>0</v>
      </c>
      <c r="R52">
        <v>1</v>
      </c>
      <c r="S52">
        <v>1</v>
      </c>
      <c r="T52">
        <v>1</v>
      </c>
      <c r="U52">
        <v>1</v>
      </c>
      <c r="V52">
        <v>2</v>
      </c>
      <c r="W52">
        <v>1</v>
      </c>
      <c r="X52">
        <f t="shared" si="1"/>
        <v>0.85</v>
      </c>
      <c r="Y52">
        <f t="shared" si="69"/>
        <v>2</v>
      </c>
      <c r="Z52" t="s">
        <v>21</v>
      </c>
      <c r="AA52">
        <f t="shared" si="70"/>
        <v>0.5</v>
      </c>
      <c r="AB52">
        <f t="shared" si="70"/>
        <v>0.5</v>
      </c>
      <c r="AC52">
        <f t="shared" si="70"/>
        <v>0.5</v>
      </c>
      <c r="AD52">
        <f t="shared" si="70"/>
        <v>0.5</v>
      </c>
      <c r="AE52">
        <f t="shared" si="70"/>
        <v>0.5</v>
      </c>
      <c r="AF52">
        <f t="shared" si="70"/>
        <v>0.5</v>
      </c>
      <c r="AG52">
        <f t="shared" si="70"/>
        <v>0</v>
      </c>
      <c r="AH52">
        <f t="shared" si="70"/>
        <v>0.5</v>
      </c>
      <c r="AI52">
        <f t="shared" si="70"/>
        <v>0</v>
      </c>
      <c r="AJ52">
        <f t="shared" si="70"/>
        <v>0</v>
      </c>
      <c r="AK52">
        <f t="shared" si="71"/>
        <v>0.5</v>
      </c>
      <c r="AL52">
        <f t="shared" si="71"/>
        <v>0.5</v>
      </c>
      <c r="AM52">
        <f t="shared" si="71"/>
        <v>0.5</v>
      </c>
      <c r="AN52">
        <f t="shared" si="71"/>
        <v>0</v>
      </c>
      <c r="AO52">
        <f t="shared" si="71"/>
        <v>0.5</v>
      </c>
      <c r="AP52">
        <f t="shared" si="71"/>
        <v>0.5</v>
      </c>
      <c r="AQ52">
        <f t="shared" si="71"/>
        <v>0.5</v>
      </c>
      <c r="AR52">
        <f t="shared" si="71"/>
        <v>0.5</v>
      </c>
      <c r="AS52">
        <f t="shared" si="71"/>
        <v>1</v>
      </c>
      <c r="AT52">
        <f t="shared" si="71"/>
        <v>0.5</v>
      </c>
      <c r="AV52">
        <f t="shared" si="3"/>
        <v>0.42499999999999999</v>
      </c>
    </row>
    <row r="53" spans="1:48" x14ac:dyDescent="0.35">
      <c r="B53" t="s">
        <v>23</v>
      </c>
      <c r="C53" t="s">
        <v>68</v>
      </c>
      <c r="Y53">
        <f t="shared" si="69"/>
        <v>0</v>
      </c>
      <c r="Z53" t="s">
        <v>22</v>
      </c>
      <c r="AV53" t="e">
        <f t="shared" si="3"/>
        <v>#DIV/0!</v>
      </c>
    </row>
    <row r="54" spans="1:48" x14ac:dyDescent="0.35">
      <c r="A54">
        <v>11</v>
      </c>
      <c r="B54" t="s">
        <v>24</v>
      </c>
      <c r="C54" t="s">
        <v>0</v>
      </c>
      <c r="D54">
        <v>3</v>
      </c>
      <c r="E54">
        <v>4</v>
      </c>
      <c r="F54">
        <v>4</v>
      </c>
      <c r="G54">
        <v>4</v>
      </c>
      <c r="H54">
        <v>3</v>
      </c>
      <c r="I54">
        <v>3</v>
      </c>
      <c r="J54">
        <v>4</v>
      </c>
      <c r="K54">
        <v>6</v>
      </c>
      <c r="L54">
        <v>4</v>
      </c>
      <c r="M54">
        <v>3</v>
      </c>
      <c r="N54">
        <v>3</v>
      </c>
      <c r="O54">
        <v>4</v>
      </c>
      <c r="P54">
        <v>5</v>
      </c>
      <c r="Q54">
        <v>3</v>
      </c>
      <c r="R54">
        <v>4</v>
      </c>
      <c r="S54">
        <v>3</v>
      </c>
      <c r="T54">
        <v>4</v>
      </c>
      <c r="U54">
        <v>6</v>
      </c>
      <c r="V54">
        <v>3</v>
      </c>
      <c r="W54">
        <v>6</v>
      </c>
      <c r="X54">
        <f t="shared" si="1"/>
        <v>3.95</v>
      </c>
      <c r="Y54">
        <f t="shared" si="69"/>
        <v>11</v>
      </c>
      <c r="Z54" t="s">
        <v>0</v>
      </c>
      <c r="AA54">
        <f t="shared" ref="AA54:AT54" si="72">D54/$Y54</f>
        <v>0.27272727272727271</v>
      </c>
      <c r="AB54">
        <f t="shared" si="72"/>
        <v>0.36363636363636365</v>
      </c>
      <c r="AC54">
        <f t="shared" si="72"/>
        <v>0.36363636363636365</v>
      </c>
      <c r="AD54">
        <f t="shared" si="72"/>
        <v>0.36363636363636365</v>
      </c>
      <c r="AE54">
        <f t="shared" si="72"/>
        <v>0.27272727272727271</v>
      </c>
      <c r="AF54">
        <f t="shared" si="72"/>
        <v>0.27272727272727271</v>
      </c>
      <c r="AG54">
        <f t="shared" si="72"/>
        <v>0.36363636363636365</v>
      </c>
      <c r="AH54">
        <f t="shared" si="72"/>
        <v>0.54545454545454541</v>
      </c>
      <c r="AI54">
        <f t="shared" si="72"/>
        <v>0.36363636363636365</v>
      </c>
      <c r="AJ54">
        <f t="shared" si="72"/>
        <v>0.27272727272727271</v>
      </c>
      <c r="AK54">
        <f t="shared" si="72"/>
        <v>0.27272727272727271</v>
      </c>
      <c r="AL54">
        <f t="shared" si="72"/>
        <v>0.36363636363636365</v>
      </c>
      <c r="AM54">
        <f t="shared" si="72"/>
        <v>0.45454545454545453</v>
      </c>
      <c r="AN54">
        <f t="shared" si="72"/>
        <v>0.27272727272727271</v>
      </c>
      <c r="AO54">
        <f t="shared" si="72"/>
        <v>0.36363636363636365</v>
      </c>
      <c r="AP54">
        <f t="shared" si="72"/>
        <v>0.27272727272727271</v>
      </c>
      <c r="AQ54">
        <f t="shared" si="72"/>
        <v>0.36363636363636365</v>
      </c>
      <c r="AR54">
        <f t="shared" si="72"/>
        <v>0.54545454545454541</v>
      </c>
      <c r="AS54">
        <f t="shared" si="72"/>
        <v>0.27272727272727271</v>
      </c>
      <c r="AT54">
        <f t="shared" si="72"/>
        <v>0.54545454545454541</v>
      </c>
      <c r="AV54">
        <f t="shared" si="3"/>
        <v>0.35909090909090902</v>
      </c>
    </row>
    <row r="55" spans="1:48" x14ac:dyDescent="0.35">
      <c r="B55" t="s">
        <v>24</v>
      </c>
      <c r="C55" t="s">
        <v>15</v>
      </c>
      <c r="D55">
        <v>0</v>
      </c>
      <c r="E55">
        <v>-1</v>
      </c>
      <c r="F55">
        <v>0</v>
      </c>
      <c r="G55">
        <v>0</v>
      </c>
      <c r="H55">
        <v>0</v>
      </c>
      <c r="I55">
        <v>0</v>
      </c>
      <c r="J55">
        <v>-1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f t="shared" si="1"/>
        <v>-0.1</v>
      </c>
      <c r="Y55">
        <f t="shared" si="69"/>
        <v>0</v>
      </c>
      <c r="Z55" t="s">
        <v>15</v>
      </c>
      <c r="AV55" t="e">
        <f t="shared" si="3"/>
        <v>#DIV/0!</v>
      </c>
    </row>
    <row r="56" spans="1:48" x14ac:dyDescent="0.35">
      <c r="A56">
        <v>7</v>
      </c>
      <c r="B56" t="s">
        <v>24</v>
      </c>
      <c r="C56" t="s">
        <v>4</v>
      </c>
      <c r="D56">
        <v>0</v>
      </c>
      <c r="E56">
        <v>3</v>
      </c>
      <c r="F56">
        <v>6</v>
      </c>
      <c r="G56">
        <v>5</v>
      </c>
      <c r="H56">
        <v>3</v>
      </c>
      <c r="I56">
        <v>8</v>
      </c>
      <c r="J56">
        <v>1</v>
      </c>
      <c r="K56">
        <v>7</v>
      </c>
      <c r="L56">
        <v>1</v>
      </c>
      <c r="M56">
        <v>3</v>
      </c>
      <c r="N56">
        <v>4</v>
      </c>
      <c r="O56">
        <v>3</v>
      </c>
      <c r="P56">
        <v>1</v>
      </c>
      <c r="Q56">
        <v>3</v>
      </c>
      <c r="R56">
        <v>2</v>
      </c>
      <c r="S56">
        <v>1</v>
      </c>
      <c r="T56">
        <v>5</v>
      </c>
      <c r="U56">
        <v>6</v>
      </c>
      <c r="V56">
        <v>5</v>
      </c>
      <c r="W56">
        <v>4</v>
      </c>
      <c r="X56">
        <f t="shared" si="1"/>
        <v>3.55</v>
      </c>
      <c r="Y56">
        <f t="shared" si="69"/>
        <v>7</v>
      </c>
      <c r="Z56" t="s">
        <v>4</v>
      </c>
      <c r="AA56">
        <f t="shared" ref="AA56:AT56" si="73">D56/$Y56</f>
        <v>0</v>
      </c>
      <c r="AB56">
        <f t="shared" si="73"/>
        <v>0.42857142857142855</v>
      </c>
      <c r="AC56">
        <f t="shared" si="73"/>
        <v>0.8571428571428571</v>
      </c>
      <c r="AD56">
        <f t="shared" si="73"/>
        <v>0.7142857142857143</v>
      </c>
      <c r="AE56">
        <f t="shared" si="73"/>
        <v>0.42857142857142855</v>
      </c>
      <c r="AF56">
        <f t="shared" si="73"/>
        <v>1.1428571428571428</v>
      </c>
      <c r="AG56">
        <f t="shared" si="73"/>
        <v>0.14285714285714285</v>
      </c>
      <c r="AH56">
        <f t="shared" si="73"/>
        <v>1</v>
      </c>
      <c r="AI56">
        <f t="shared" si="73"/>
        <v>0.14285714285714285</v>
      </c>
      <c r="AJ56">
        <f t="shared" si="73"/>
        <v>0.42857142857142855</v>
      </c>
      <c r="AK56">
        <f t="shared" si="73"/>
        <v>0.5714285714285714</v>
      </c>
      <c r="AL56">
        <f t="shared" si="73"/>
        <v>0.42857142857142855</v>
      </c>
      <c r="AM56">
        <f t="shared" si="73"/>
        <v>0.14285714285714285</v>
      </c>
      <c r="AN56">
        <f t="shared" si="73"/>
        <v>0.42857142857142855</v>
      </c>
      <c r="AO56">
        <f t="shared" si="73"/>
        <v>0.2857142857142857</v>
      </c>
      <c r="AP56">
        <f t="shared" si="73"/>
        <v>0.14285714285714285</v>
      </c>
      <c r="AQ56">
        <f t="shared" si="73"/>
        <v>0.7142857142857143</v>
      </c>
      <c r="AR56">
        <f t="shared" si="73"/>
        <v>0.8571428571428571</v>
      </c>
      <c r="AS56">
        <f t="shared" si="73"/>
        <v>0.7142857142857143</v>
      </c>
      <c r="AT56">
        <f t="shared" si="73"/>
        <v>0.5714285714285714</v>
      </c>
      <c r="AV56">
        <f t="shared" si="3"/>
        <v>0.50714285714285712</v>
      </c>
    </row>
    <row r="57" spans="1:48" x14ac:dyDescent="0.35">
      <c r="B57" t="s">
        <v>24</v>
      </c>
      <c r="C57" t="s">
        <v>15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-1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-2</v>
      </c>
      <c r="X57">
        <f t="shared" si="1"/>
        <v>-0.15</v>
      </c>
      <c r="Y57">
        <f t="shared" si="69"/>
        <v>0</v>
      </c>
      <c r="Z57" t="s">
        <v>15</v>
      </c>
      <c r="AV57" t="e">
        <f t="shared" si="3"/>
        <v>#DIV/0!</v>
      </c>
    </row>
    <row r="58" spans="1:48" x14ac:dyDescent="0.35">
      <c r="A58">
        <v>6</v>
      </c>
      <c r="B58" t="s">
        <v>24</v>
      </c>
      <c r="C58" t="s">
        <v>5</v>
      </c>
      <c r="D58">
        <v>2</v>
      </c>
      <c r="E58">
        <v>3</v>
      </c>
      <c r="F58">
        <v>5</v>
      </c>
      <c r="G58">
        <v>4</v>
      </c>
      <c r="H58">
        <v>1</v>
      </c>
      <c r="I58">
        <v>4</v>
      </c>
      <c r="J58">
        <v>3</v>
      </c>
      <c r="K58">
        <v>3</v>
      </c>
      <c r="L58">
        <v>3</v>
      </c>
      <c r="M58">
        <v>3</v>
      </c>
      <c r="N58">
        <v>1</v>
      </c>
      <c r="O58">
        <v>4</v>
      </c>
      <c r="P58">
        <v>3</v>
      </c>
      <c r="Q58">
        <v>2</v>
      </c>
      <c r="R58">
        <v>3</v>
      </c>
      <c r="S58">
        <v>1</v>
      </c>
      <c r="T58">
        <v>4</v>
      </c>
      <c r="U58">
        <v>6</v>
      </c>
      <c r="V58">
        <v>4</v>
      </c>
      <c r="W58">
        <v>5</v>
      </c>
      <c r="X58">
        <f t="shared" si="1"/>
        <v>3.2</v>
      </c>
      <c r="Y58">
        <f t="shared" si="69"/>
        <v>6</v>
      </c>
      <c r="Z58" t="s">
        <v>5</v>
      </c>
      <c r="AA58">
        <f t="shared" ref="AA58:AT58" si="74">D58/$Y58</f>
        <v>0.33333333333333331</v>
      </c>
      <c r="AB58">
        <f t="shared" si="74"/>
        <v>0.5</v>
      </c>
      <c r="AC58">
        <f t="shared" si="74"/>
        <v>0.83333333333333337</v>
      </c>
      <c r="AD58">
        <f t="shared" si="74"/>
        <v>0.66666666666666663</v>
      </c>
      <c r="AE58">
        <f t="shared" si="74"/>
        <v>0.16666666666666666</v>
      </c>
      <c r="AF58">
        <f t="shared" si="74"/>
        <v>0.66666666666666663</v>
      </c>
      <c r="AG58">
        <f t="shared" si="74"/>
        <v>0.5</v>
      </c>
      <c r="AH58">
        <f t="shared" si="74"/>
        <v>0.5</v>
      </c>
      <c r="AI58">
        <f t="shared" si="74"/>
        <v>0.5</v>
      </c>
      <c r="AJ58">
        <f t="shared" si="74"/>
        <v>0.5</v>
      </c>
      <c r="AK58">
        <f t="shared" si="74"/>
        <v>0.16666666666666666</v>
      </c>
      <c r="AL58">
        <f t="shared" si="74"/>
        <v>0.66666666666666663</v>
      </c>
      <c r="AM58">
        <f t="shared" si="74"/>
        <v>0.5</v>
      </c>
      <c r="AN58">
        <f t="shared" si="74"/>
        <v>0.33333333333333331</v>
      </c>
      <c r="AO58">
        <f t="shared" si="74"/>
        <v>0.5</v>
      </c>
      <c r="AP58">
        <f t="shared" si="74"/>
        <v>0.16666666666666666</v>
      </c>
      <c r="AQ58">
        <f t="shared" si="74"/>
        <v>0.66666666666666663</v>
      </c>
      <c r="AR58">
        <f t="shared" si="74"/>
        <v>1</v>
      </c>
      <c r="AS58">
        <f t="shared" si="74"/>
        <v>0.66666666666666663</v>
      </c>
      <c r="AT58">
        <f t="shared" si="74"/>
        <v>0.83333333333333337</v>
      </c>
      <c r="AV58">
        <f t="shared" si="3"/>
        <v>0.53333333333333333</v>
      </c>
    </row>
    <row r="59" spans="1:48" x14ac:dyDescent="0.35">
      <c r="B59" t="s">
        <v>24</v>
      </c>
      <c r="C59" t="s">
        <v>15</v>
      </c>
      <c r="D59">
        <v>-1</v>
      </c>
      <c r="E59">
        <v>0</v>
      </c>
      <c r="F59">
        <v>-1</v>
      </c>
      <c r="G59">
        <v>0</v>
      </c>
      <c r="H59">
        <v>-1</v>
      </c>
      <c r="I59">
        <v>-1</v>
      </c>
      <c r="J59">
        <v>0</v>
      </c>
      <c r="K59">
        <v>-5</v>
      </c>
      <c r="L59">
        <v>0</v>
      </c>
      <c r="M59">
        <v>0</v>
      </c>
      <c r="N59">
        <v>-1</v>
      </c>
      <c r="O59">
        <v>0</v>
      </c>
      <c r="P59">
        <v>0</v>
      </c>
      <c r="Q59">
        <v>-2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f t="shared" si="1"/>
        <v>-0.6</v>
      </c>
      <c r="Y59">
        <f t="shared" si="69"/>
        <v>0</v>
      </c>
      <c r="Z59" t="s">
        <v>15</v>
      </c>
      <c r="AV59" t="e">
        <f t="shared" si="3"/>
        <v>#DIV/0!</v>
      </c>
    </row>
    <row r="60" spans="1:48" x14ac:dyDescent="0.35">
      <c r="A60">
        <v>4</v>
      </c>
      <c r="B60" t="s">
        <v>24</v>
      </c>
      <c r="C60" t="s">
        <v>6</v>
      </c>
      <c r="D60">
        <v>0</v>
      </c>
      <c r="E60">
        <v>0</v>
      </c>
      <c r="F60">
        <v>3</v>
      </c>
      <c r="G60">
        <v>1</v>
      </c>
      <c r="H60">
        <v>0</v>
      </c>
      <c r="I60">
        <v>2</v>
      </c>
      <c r="J60">
        <v>1</v>
      </c>
      <c r="K60">
        <v>2</v>
      </c>
      <c r="L60">
        <v>0</v>
      </c>
      <c r="M60">
        <v>1</v>
      </c>
      <c r="N60">
        <v>0</v>
      </c>
      <c r="O60">
        <v>2</v>
      </c>
      <c r="P60">
        <v>1</v>
      </c>
      <c r="Q60">
        <v>3</v>
      </c>
      <c r="R60">
        <v>1</v>
      </c>
      <c r="S60">
        <v>1</v>
      </c>
      <c r="T60">
        <v>1</v>
      </c>
      <c r="U60">
        <v>4</v>
      </c>
      <c r="V60">
        <v>2</v>
      </c>
      <c r="W60">
        <v>6</v>
      </c>
      <c r="X60">
        <f t="shared" si="1"/>
        <v>1.55</v>
      </c>
      <c r="Y60">
        <f t="shared" si="69"/>
        <v>4</v>
      </c>
      <c r="Z60" t="s">
        <v>6</v>
      </c>
      <c r="AA60">
        <f t="shared" ref="AA60:AT60" si="75">D60/$Y60</f>
        <v>0</v>
      </c>
      <c r="AB60">
        <f t="shared" si="75"/>
        <v>0</v>
      </c>
      <c r="AC60">
        <f t="shared" si="75"/>
        <v>0.75</v>
      </c>
      <c r="AD60">
        <f t="shared" si="75"/>
        <v>0.25</v>
      </c>
      <c r="AE60">
        <f t="shared" si="75"/>
        <v>0</v>
      </c>
      <c r="AF60">
        <f t="shared" si="75"/>
        <v>0.5</v>
      </c>
      <c r="AG60">
        <f t="shared" si="75"/>
        <v>0.25</v>
      </c>
      <c r="AH60">
        <f t="shared" si="75"/>
        <v>0.5</v>
      </c>
      <c r="AI60">
        <f t="shared" si="75"/>
        <v>0</v>
      </c>
      <c r="AJ60">
        <f t="shared" si="75"/>
        <v>0.25</v>
      </c>
      <c r="AK60">
        <f t="shared" si="75"/>
        <v>0</v>
      </c>
      <c r="AL60">
        <f t="shared" si="75"/>
        <v>0.5</v>
      </c>
      <c r="AM60">
        <f t="shared" si="75"/>
        <v>0.25</v>
      </c>
      <c r="AN60">
        <f t="shared" si="75"/>
        <v>0.75</v>
      </c>
      <c r="AO60">
        <f t="shared" si="75"/>
        <v>0.25</v>
      </c>
      <c r="AP60">
        <f t="shared" si="75"/>
        <v>0.25</v>
      </c>
      <c r="AQ60">
        <f t="shared" si="75"/>
        <v>0.25</v>
      </c>
      <c r="AR60">
        <f t="shared" si="75"/>
        <v>1</v>
      </c>
      <c r="AS60">
        <f t="shared" si="75"/>
        <v>0.5</v>
      </c>
      <c r="AT60">
        <f t="shared" si="75"/>
        <v>1.5</v>
      </c>
      <c r="AV60">
        <f t="shared" si="3"/>
        <v>0.38750000000000001</v>
      </c>
    </row>
    <row r="61" spans="1:48" x14ac:dyDescent="0.35">
      <c r="B61" t="s">
        <v>24</v>
      </c>
      <c r="C61" t="s">
        <v>15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-1</v>
      </c>
      <c r="V61">
        <v>0</v>
      </c>
      <c r="W61">
        <v>0</v>
      </c>
      <c r="X61">
        <f t="shared" si="1"/>
        <v>-0.05</v>
      </c>
      <c r="Y61">
        <f t="shared" si="69"/>
        <v>0</v>
      </c>
      <c r="Z61" t="s">
        <v>15</v>
      </c>
      <c r="AV61" t="e">
        <f t="shared" si="3"/>
        <v>#DIV/0!</v>
      </c>
    </row>
    <row r="62" spans="1:48" x14ac:dyDescent="0.35">
      <c r="A62">
        <v>6</v>
      </c>
      <c r="B62" t="s">
        <v>24</v>
      </c>
      <c r="C62" t="s">
        <v>7</v>
      </c>
      <c r="D62">
        <v>0</v>
      </c>
      <c r="E62">
        <v>0</v>
      </c>
      <c r="F62">
        <v>3</v>
      </c>
      <c r="G62">
        <v>3</v>
      </c>
      <c r="H62">
        <v>1</v>
      </c>
      <c r="I62">
        <v>4</v>
      </c>
      <c r="J62">
        <v>3</v>
      </c>
      <c r="K62">
        <v>3</v>
      </c>
      <c r="L62">
        <v>0</v>
      </c>
      <c r="M62">
        <v>2</v>
      </c>
      <c r="N62">
        <v>3</v>
      </c>
      <c r="O62">
        <v>3</v>
      </c>
      <c r="P62">
        <v>2</v>
      </c>
      <c r="Q62">
        <v>0</v>
      </c>
      <c r="R62">
        <v>2</v>
      </c>
      <c r="S62">
        <v>1</v>
      </c>
      <c r="T62">
        <v>4</v>
      </c>
      <c r="U62">
        <v>5</v>
      </c>
      <c r="V62">
        <v>2</v>
      </c>
      <c r="W62">
        <v>2</v>
      </c>
      <c r="X62">
        <f t="shared" si="1"/>
        <v>2.15</v>
      </c>
      <c r="Y62">
        <f t="shared" si="69"/>
        <v>6</v>
      </c>
      <c r="Z62" t="s">
        <v>7</v>
      </c>
      <c r="AA62">
        <f t="shared" ref="AA62:AT62" si="76">D62/$Y62</f>
        <v>0</v>
      </c>
      <c r="AB62">
        <f t="shared" si="76"/>
        <v>0</v>
      </c>
      <c r="AC62">
        <f t="shared" si="76"/>
        <v>0.5</v>
      </c>
      <c r="AD62">
        <f t="shared" si="76"/>
        <v>0.5</v>
      </c>
      <c r="AE62">
        <f t="shared" si="76"/>
        <v>0.16666666666666666</v>
      </c>
      <c r="AF62">
        <f t="shared" si="76"/>
        <v>0.66666666666666663</v>
      </c>
      <c r="AG62">
        <f t="shared" si="76"/>
        <v>0.5</v>
      </c>
      <c r="AH62">
        <f t="shared" si="76"/>
        <v>0.5</v>
      </c>
      <c r="AI62">
        <f t="shared" si="76"/>
        <v>0</v>
      </c>
      <c r="AJ62">
        <f t="shared" si="76"/>
        <v>0.33333333333333331</v>
      </c>
      <c r="AK62">
        <f t="shared" si="76"/>
        <v>0.5</v>
      </c>
      <c r="AL62">
        <f t="shared" si="76"/>
        <v>0.5</v>
      </c>
      <c r="AM62">
        <f t="shared" si="76"/>
        <v>0.33333333333333331</v>
      </c>
      <c r="AN62">
        <f t="shared" si="76"/>
        <v>0</v>
      </c>
      <c r="AO62">
        <f t="shared" si="76"/>
        <v>0.33333333333333331</v>
      </c>
      <c r="AP62">
        <f t="shared" si="76"/>
        <v>0.16666666666666666</v>
      </c>
      <c r="AQ62">
        <f t="shared" si="76"/>
        <v>0.66666666666666663</v>
      </c>
      <c r="AR62">
        <f t="shared" si="76"/>
        <v>0.83333333333333337</v>
      </c>
      <c r="AS62">
        <f t="shared" si="76"/>
        <v>0.33333333333333331</v>
      </c>
      <c r="AT62">
        <f t="shared" si="76"/>
        <v>0.33333333333333331</v>
      </c>
      <c r="AV62">
        <f t="shared" si="3"/>
        <v>0.35833333333333328</v>
      </c>
    </row>
    <row r="63" spans="1:48" x14ac:dyDescent="0.35">
      <c r="B63" t="s">
        <v>24</v>
      </c>
      <c r="C63" t="s">
        <v>15</v>
      </c>
      <c r="D63">
        <v>0</v>
      </c>
      <c r="E63">
        <v>-2</v>
      </c>
      <c r="F63">
        <v>0</v>
      </c>
      <c r="G63">
        <v>-1</v>
      </c>
      <c r="H63">
        <v>0</v>
      </c>
      <c r="I63">
        <v>-1</v>
      </c>
      <c r="J63">
        <v>0</v>
      </c>
      <c r="K63">
        <v>0</v>
      </c>
      <c r="L63">
        <v>-1</v>
      </c>
      <c r="M63">
        <v>-1</v>
      </c>
      <c r="N63">
        <v>0</v>
      </c>
      <c r="O63">
        <v>0</v>
      </c>
      <c r="P63">
        <v>-1</v>
      </c>
      <c r="Q63">
        <v>-1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f t="shared" si="1"/>
        <v>-0.4</v>
      </c>
      <c r="Y63">
        <f t="shared" si="69"/>
        <v>0</v>
      </c>
      <c r="Z63" t="s">
        <v>15</v>
      </c>
    </row>
    <row r="64" spans="1:48" x14ac:dyDescent="0.35">
      <c r="A64">
        <v>5</v>
      </c>
      <c r="B64" t="s">
        <v>24</v>
      </c>
      <c r="C64" t="s">
        <v>42</v>
      </c>
      <c r="D64">
        <v>2</v>
      </c>
      <c r="E64">
        <v>3</v>
      </c>
      <c r="F64">
        <v>4</v>
      </c>
      <c r="G64">
        <v>4</v>
      </c>
      <c r="H64">
        <v>2</v>
      </c>
      <c r="I64">
        <v>4</v>
      </c>
      <c r="J64">
        <v>3</v>
      </c>
      <c r="K64">
        <v>5</v>
      </c>
      <c r="L64">
        <v>2</v>
      </c>
      <c r="M64">
        <v>2</v>
      </c>
      <c r="N64">
        <v>2</v>
      </c>
      <c r="O64">
        <v>4</v>
      </c>
      <c r="P64">
        <v>2</v>
      </c>
      <c r="Q64">
        <v>3</v>
      </c>
      <c r="R64">
        <v>3</v>
      </c>
      <c r="S64">
        <v>2</v>
      </c>
      <c r="T64">
        <v>2</v>
      </c>
      <c r="U64">
        <v>4</v>
      </c>
      <c r="V64">
        <v>3</v>
      </c>
      <c r="W64">
        <v>5</v>
      </c>
      <c r="X64">
        <f t="shared" si="1"/>
        <v>3.05</v>
      </c>
      <c r="Y64">
        <f t="shared" si="69"/>
        <v>5</v>
      </c>
      <c r="Z64" t="s">
        <v>42</v>
      </c>
      <c r="AA64">
        <f t="shared" ref="AA64:AT64" si="77">D64/$Y64</f>
        <v>0.4</v>
      </c>
      <c r="AB64">
        <f t="shared" si="77"/>
        <v>0.6</v>
      </c>
      <c r="AC64">
        <f t="shared" si="77"/>
        <v>0.8</v>
      </c>
      <c r="AD64">
        <f t="shared" si="77"/>
        <v>0.8</v>
      </c>
      <c r="AE64">
        <f t="shared" si="77"/>
        <v>0.4</v>
      </c>
      <c r="AF64">
        <f t="shared" si="77"/>
        <v>0.8</v>
      </c>
      <c r="AG64">
        <f t="shared" si="77"/>
        <v>0.6</v>
      </c>
      <c r="AH64">
        <f t="shared" si="77"/>
        <v>1</v>
      </c>
      <c r="AI64">
        <f t="shared" si="77"/>
        <v>0.4</v>
      </c>
      <c r="AJ64">
        <f t="shared" si="77"/>
        <v>0.4</v>
      </c>
      <c r="AK64">
        <f t="shared" si="77"/>
        <v>0.4</v>
      </c>
      <c r="AL64">
        <f t="shared" si="77"/>
        <v>0.8</v>
      </c>
      <c r="AM64">
        <f t="shared" si="77"/>
        <v>0.4</v>
      </c>
      <c r="AN64">
        <f t="shared" si="77"/>
        <v>0.6</v>
      </c>
      <c r="AO64">
        <f t="shared" si="77"/>
        <v>0.6</v>
      </c>
      <c r="AP64">
        <f t="shared" si="77"/>
        <v>0.4</v>
      </c>
      <c r="AQ64">
        <f t="shared" si="77"/>
        <v>0.4</v>
      </c>
      <c r="AR64">
        <f t="shared" si="77"/>
        <v>0.8</v>
      </c>
      <c r="AS64">
        <f t="shared" si="77"/>
        <v>0.6</v>
      </c>
      <c r="AT64">
        <f t="shared" si="77"/>
        <v>1</v>
      </c>
      <c r="AV64">
        <f t="shared" si="3"/>
        <v>0.6100000000000001</v>
      </c>
    </row>
    <row r="65" spans="1:48" x14ac:dyDescent="0.35">
      <c r="B65" t="s">
        <v>24</v>
      </c>
      <c r="C65" t="s">
        <v>43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f t="shared" si="1"/>
        <v>0.1</v>
      </c>
      <c r="Y65">
        <f t="shared" si="69"/>
        <v>0</v>
      </c>
      <c r="Z65" t="s">
        <v>43</v>
      </c>
      <c r="AA65">
        <f>D65/D64</f>
        <v>0.5</v>
      </c>
      <c r="AB65">
        <f t="shared" ref="AB65" si="78">E65/E64</f>
        <v>0</v>
      </c>
      <c r="AC65">
        <f t="shared" ref="AC65" si="79">F65/F64</f>
        <v>0</v>
      </c>
      <c r="AD65">
        <f t="shared" ref="AD65" si="80">G65/G64</f>
        <v>0</v>
      </c>
      <c r="AE65">
        <f t="shared" ref="AE65" si="81">H65/H64</f>
        <v>0</v>
      </c>
      <c r="AF65">
        <f t="shared" ref="AF65" si="82">I65/I64</f>
        <v>0</v>
      </c>
      <c r="AG65">
        <f t="shared" ref="AG65" si="83">J65/J64</f>
        <v>0</v>
      </c>
      <c r="AH65">
        <f t="shared" ref="AH65" si="84">K65/K64</f>
        <v>0.2</v>
      </c>
      <c r="AI65">
        <f t="shared" ref="AI65" si="85">L65/L64</f>
        <v>0</v>
      </c>
      <c r="AJ65">
        <f t="shared" ref="AJ65" si="86">M65/M64</f>
        <v>0</v>
      </c>
      <c r="AK65">
        <f t="shared" ref="AK65" si="87">N65/N64</f>
        <v>0</v>
      </c>
      <c r="AL65">
        <f t="shared" ref="AL65" si="88">O65/O64</f>
        <v>0</v>
      </c>
      <c r="AM65">
        <f t="shared" ref="AM65" si="89">P65/P64</f>
        <v>0</v>
      </c>
      <c r="AN65">
        <f t="shared" ref="AN65" si="90">Q65/Q64</f>
        <v>0</v>
      </c>
      <c r="AO65">
        <f t="shared" ref="AO65" si="91">R65/R64</f>
        <v>0</v>
      </c>
      <c r="AP65">
        <f t="shared" ref="AP65" si="92">S65/S64</f>
        <v>0</v>
      </c>
      <c r="AQ65">
        <f t="shared" ref="AQ65" si="93">T65/T64</f>
        <v>0</v>
      </c>
      <c r="AR65">
        <f t="shared" ref="AR65" si="94">U65/U64</f>
        <v>0</v>
      </c>
      <c r="AS65">
        <f t="shared" ref="AS65" si="95">V65/V64</f>
        <v>0</v>
      </c>
      <c r="AT65">
        <f t="shared" ref="AT65" si="96">W65/W64</f>
        <v>0</v>
      </c>
      <c r="AV65">
        <f t="shared" si="3"/>
        <v>3.4999999999999996E-2</v>
      </c>
    </row>
    <row r="66" spans="1:48" x14ac:dyDescent="0.35">
      <c r="C66" t="s">
        <v>72</v>
      </c>
      <c r="Z66" t="s">
        <v>72</v>
      </c>
      <c r="AA66">
        <f>D64/(D65+1)</f>
        <v>1</v>
      </c>
      <c r="AB66">
        <f t="shared" ref="AB66:AT66" si="97">E64/(E65+1)</f>
        <v>3</v>
      </c>
      <c r="AC66">
        <f t="shared" si="97"/>
        <v>4</v>
      </c>
      <c r="AD66">
        <f t="shared" si="97"/>
        <v>4</v>
      </c>
      <c r="AE66">
        <f t="shared" si="97"/>
        <v>2</v>
      </c>
      <c r="AF66">
        <f t="shared" si="97"/>
        <v>4</v>
      </c>
      <c r="AG66">
        <f t="shared" si="97"/>
        <v>3</v>
      </c>
      <c r="AH66">
        <f t="shared" si="97"/>
        <v>2.5</v>
      </c>
      <c r="AI66">
        <f t="shared" si="97"/>
        <v>2</v>
      </c>
      <c r="AJ66">
        <f t="shared" si="97"/>
        <v>2</v>
      </c>
      <c r="AK66">
        <f t="shared" si="97"/>
        <v>2</v>
      </c>
      <c r="AL66">
        <f t="shared" si="97"/>
        <v>4</v>
      </c>
      <c r="AM66">
        <f t="shared" si="97"/>
        <v>2</v>
      </c>
      <c r="AN66">
        <f t="shared" si="97"/>
        <v>3</v>
      </c>
      <c r="AO66">
        <f t="shared" si="97"/>
        <v>3</v>
      </c>
      <c r="AP66">
        <f t="shared" si="97"/>
        <v>2</v>
      </c>
      <c r="AQ66">
        <f t="shared" si="97"/>
        <v>2</v>
      </c>
      <c r="AR66">
        <f t="shared" si="97"/>
        <v>4</v>
      </c>
      <c r="AS66">
        <f t="shared" si="97"/>
        <v>3</v>
      </c>
      <c r="AT66">
        <f t="shared" si="97"/>
        <v>5</v>
      </c>
      <c r="AV66">
        <f t="shared" si="3"/>
        <v>2.875</v>
      </c>
    </row>
    <row r="67" spans="1:48" x14ac:dyDescent="0.35">
      <c r="A67">
        <v>2</v>
      </c>
      <c r="B67" t="s">
        <v>24</v>
      </c>
      <c r="C67" t="s">
        <v>20</v>
      </c>
      <c r="D67">
        <v>2</v>
      </c>
      <c r="E67">
        <v>2</v>
      </c>
      <c r="F67">
        <v>3</v>
      </c>
      <c r="G67">
        <v>3</v>
      </c>
      <c r="H67">
        <v>3</v>
      </c>
      <c r="I67">
        <v>3</v>
      </c>
      <c r="J67">
        <v>2</v>
      </c>
      <c r="K67">
        <v>3</v>
      </c>
      <c r="L67">
        <v>3</v>
      </c>
      <c r="M67">
        <v>3</v>
      </c>
      <c r="N67">
        <v>3</v>
      </c>
      <c r="O67">
        <v>3</v>
      </c>
      <c r="P67">
        <v>3</v>
      </c>
      <c r="Q67">
        <v>3</v>
      </c>
      <c r="R67">
        <v>3</v>
      </c>
      <c r="S67">
        <v>3</v>
      </c>
      <c r="T67">
        <v>3</v>
      </c>
      <c r="U67">
        <v>3</v>
      </c>
      <c r="V67">
        <v>3</v>
      </c>
      <c r="W67">
        <v>3</v>
      </c>
      <c r="X67">
        <f t="shared" si="1"/>
        <v>2.85</v>
      </c>
      <c r="Y67">
        <f>A67</f>
        <v>2</v>
      </c>
      <c r="Z67" t="s">
        <v>20</v>
      </c>
      <c r="AA67">
        <f t="shared" ref="AA67:AJ68" si="98">D67/$Y67</f>
        <v>1</v>
      </c>
      <c r="AB67">
        <f t="shared" si="98"/>
        <v>1</v>
      </c>
      <c r="AC67">
        <f t="shared" si="98"/>
        <v>1.5</v>
      </c>
      <c r="AD67">
        <f t="shared" si="98"/>
        <v>1.5</v>
      </c>
      <c r="AE67">
        <f t="shared" si="98"/>
        <v>1.5</v>
      </c>
      <c r="AF67">
        <f t="shared" si="98"/>
        <v>1.5</v>
      </c>
      <c r="AG67">
        <f t="shared" si="98"/>
        <v>1</v>
      </c>
      <c r="AH67">
        <f t="shared" si="98"/>
        <v>1.5</v>
      </c>
      <c r="AI67">
        <f t="shared" si="98"/>
        <v>1.5</v>
      </c>
      <c r="AJ67">
        <f t="shared" si="98"/>
        <v>1.5</v>
      </c>
      <c r="AK67">
        <f t="shared" ref="AK67:AT68" si="99">N67/$Y67</f>
        <v>1.5</v>
      </c>
      <c r="AL67">
        <f t="shared" si="99"/>
        <v>1.5</v>
      </c>
      <c r="AM67">
        <f t="shared" si="99"/>
        <v>1.5</v>
      </c>
      <c r="AN67">
        <f t="shared" si="99"/>
        <v>1.5</v>
      </c>
      <c r="AO67">
        <f t="shared" si="99"/>
        <v>1.5</v>
      </c>
      <c r="AP67">
        <f t="shared" si="99"/>
        <v>1.5</v>
      </c>
      <c r="AQ67">
        <f t="shared" si="99"/>
        <v>1.5</v>
      </c>
      <c r="AR67">
        <f t="shared" si="99"/>
        <v>1.5</v>
      </c>
      <c r="AS67">
        <f t="shared" si="99"/>
        <v>1.5</v>
      </c>
      <c r="AT67">
        <f t="shared" si="99"/>
        <v>1.5</v>
      </c>
      <c r="AV67">
        <f t="shared" si="3"/>
        <v>1.425</v>
      </c>
    </row>
    <row r="68" spans="1:48" x14ac:dyDescent="0.35">
      <c r="A68">
        <v>2</v>
      </c>
      <c r="B68" t="s">
        <v>24</v>
      </c>
      <c r="C68" t="s">
        <v>21</v>
      </c>
      <c r="D68">
        <v>2</v>
      </c>
      <c r="E68">
        <v>2</v>
      </c>
      <c r="F68">
        <v>3</v>
      </c>
      <c r="G68">
        <v>2</v>
      </c>
      <c r="H68">
        <v>1</v>
      </c>
      <c r="I68">
        <v>3</v>
      </c>
      <c r="J68">
        <v>2</v>
      </c>
      <c r="K68">
        <v>2</v>
      </c>
      <c r="L68">
        <v>2</v>
      </c>
      <c r="M68">
        <v>2</v>
      </c>
      <c r="N68">
        <v>2</v>
      </c>
      <c r="O68">
        <v>2</v>
      </c>
      <c r="P68">
        <v>2</v>
      </c>
      <c r="Q68">
        <v>2</v>
      </c>
      <c r="R68">
        <v>2</v>
      </c>
      <c r="S68">
        <v>1</v>
      </c>
      <c r="T68">
        <v>3</v>
      </c>
      <c r="U68">
        <v>3</v>
      </c>
      <c r="V68">
        <v>2</v>
      </c>
      <c r="W68">
        <v>3</v>
      </c>
      <c r="X68">
        <f t="shared" si="1"/>
        <v>2.15</v>
      </c>
      <c r="Y68">
        <f>A68</f>
        <v>2</v>
      </c>
      <c r="Z68" t="s">
        <v>21</v>
      </c>
      <c r="AA68">
        <f t="shared" si="98"/>
        <v>1</v>
      </c>
      <c r="AB68">
        <f t="shared" si="98"/>
        <v>1</v>
      </c>
      <c r="AC68">
        <f t="shared" si="98"/>
        <v>1.5</v>
      </c>
      <c r="AD68">
        <f t="shared" si="98"/>
        <v>1</v>
      </c>
      <c r="AE68">
        <f t="shared" si="98"/>
        <v>0.5</v>
      </c>
      <c r="AF68">
        <f t="shared" si="98"/>
        <v>1.5</v>
      </c>
      <c r="AG68">
        <f t="shared" si="98"/>
        <v>1</v>
      </c>
      <c r="AH68">
        <f t="shared" si="98"/>
        <v>1</v>
      </c>
      <c r="AI68">
        <f t="shared" si="98"/>
        <v>1</v>
      </c>
      <c r="AJ68">
        <f t="shared" si="98"/>
        <v>1</v>
      </c>
      <c r="AK68">
        <f t="shared" si="99"/>
        <v>1</v>
      </c>
      <c r="AL68">
        <f t="shared" si="99"/>
        <v>1</v>
      </c>
      <c r="AM68">
        <f t="shared" si="99"/>
        <v>1</v>
      </c>
      <c r="AN68">
        <f t="shared" si="99"/>
        <v>1</v>
      </c>
      <c r="AO68">
        <f t="shared" si="99"/>
        <v>1</v>
      </c>
      <c r="AP68">
        <f t="shared" si="99"/>
        <v>0.5</v>
      </c>
      <c r="AQ68">
        <f t="shared" si="99"/>
        <v>1.5</v>
      </c>
      <c r="AR68">
        <f t="shared" si="99"/>
        <v>1.5</v>
      </c>
      <c r="AS68">
        <f t="shared" si="99"/>
        <v>1</v>
      </c>
      <c r="AT68">
        <f t="shared" si="99"/>
        <v>1.5</v>
      </c>
      <c r="AV68">
        <f t="shared" si="3"/>
        <v>1.075</v>
      </c>
    </row>
    <row r="69" spans="1:48" x14ac:dyDescent="0.35">
      <c r="B69" t="s">
        <v>24</v>
      </c>
      <c r="C69" t="s">
        <v>22</v>
      </c>
      <c r="Z69" t="s">
        <v>22</v>
      </c>
    </row>
  </sheetData>
  <phoneticPr fontId="1" type="noConversion"/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1ADFD-A08C-442D-84C0-9C6C712AB9B7}">
  <dimension ref="C3:AM73"/>
  <sheetViews>
    <sheetView zoomScale="51" workbookViewId="0">
      <selection activeCell="J23" sqref="J23"/>
    </sheetView>
  </sheetViews>
  <sheetFormatPr baseColWidth="10" defaultRowHeight="14.5" x14ac:dyDescent="0.35"/>
  <sheetData>
    <row r="3" spans="3:39" x14ac:dyDescent="0.35">
      <c r="AM3" t="s">
        <v>77</v>
      </c>
    </row>
    <row r="9" spans="3:39" x14ac:dyDescent="0.35">
      <c r="C9" t="s">
        <v>41</v>
      </c>
      <c r="F9" t="s">
        <v>8</v>
      </c>
      <c r="G9" t="s">
        <v>9</v>
      </c>
      <c r="H9" t="s">
        <v>10</v>
      </c>
      <c r="I9" t="s">
        <v>11</v>
      </c>
      <c r="J9" t="s">
        <v>25</v>
      </c>
      <c r="K9" t="s">
        <v>26</v>
      </c>
      <c r="L9" t="s">
        <v>27</v>
      </c>
      <c r="M9" t="s">
        <v>28</v>
      </c>
      <c r="N9" t="s">
        <v>29</v>
      </c>
      <c r="O9" t="s">
        <v>30</v>
      </c>
      <c r="P9" t="s">
        <v>31</v>
      </c>
      <c r="Q9" t="s">
        <v>32</v>
      </c>
      <c r="R9" t="s">
        <v>33</v>
      </c>
      <c r="S9" t="s">
        <v>34</v>
      </c>
      <c r="T9" t="s">
        <v>35</v>
      </c>
      <c r="U9" t="s">
        <v>36</v>
      </c>
      <c r="V9" t="s">
        <v>37</v>
      </c>
      <c r="W9" t="s">
        <v>38</v>
      </c>
      <c r="X9" t="s">
        <v>39</v>
      </c>
      <c r="Y9" t="s">
        <v>40</v>
      </c>
      <c r="Z9" t="s">
        <v>73</v>
      </c>
    </row>
    <row r="10" spans="3:39" x14ac:dyDescent="0.35">
      <c r="C10">
        <v>7</v>
      </c>
      <c r="D10" t="s">
        <v>18</v>
      </c>
      <c r="E10" t="s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f>AVERAGE(F10:Y10)</f>
        <v>0.1</v>
      </c>
    </row>
    <row r="11" spans="3:39" x14ac:dyDescent="0.35">
      <c r="D11" t="s">
        <v>18</v>
      </c>
      <c r="E11" t="s">
        <v>14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-1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f t="shared" ref="Z11:Z72" si="0">AVERAGE(F11:Y11)</f>
        <v>-0.05</v>
      </c>
    </row>
    <row r="12" spans="3:39" x14ac:dyDescent="0.35">
      <c r="C12">
        <v>4</v>
      </c>
      <c r="D12" t="s">
        <v>18</v>
      </c>
      <c r="E12" t="s">
        <v>4</v>
      </c>
      <c r="F12">
        <v>0</v>
      </c>
      <c r="G12">
        <v>6</v>
      </c>
      <c r="H12">
        <v>3</v>
      </c>
      <c r="I12">
        <v>0</v>
      </c>
      <c r="J12">
        <v>2</v>
      </c>
      <c r="K12">
        <v>4</v>
      </c>
      <c r="L12">
        <v>0</v>
      </c>
      <c r="M12">
        <v>1</v>
      </c>
      <c r="N12">
        <v>6</v>
      </c>
      <c r="O12">
        <v>8</v>
      </c>
      <c r="P12">
        <v>7</v>
      </c>
      <c r="Q12">
        <v>0</v>
      </c>
      <c r="R12">
        <v>0</v>
      </c>
      <c r="S12">
        <v>7</v>
      </c>
      <c r="T12">
        <v>2</v>
      </c>
      <c r="U12">
        <v>0</v>
      </c>
      <c r="V12">
        <v>8</v>
      </c>
      <c r="W12">
        <v>3</v>
      </c>
      <c r="X12">
        <v>4</v>
      </c>
      <c r="Y12">
        <v>1</v>
      </c>
      <c r="Z12">
        <f t="shared" si="0"/>
        <v>3.1</v>
      </c>
    </row>
    <row r="13" spans="3:39" x14ac:dyDescent="0.35">
      <c r="D13" t="s">
        <v>18</v>
      </c>
      <c r="E13" t="s">
        <v>16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-1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f t="shared" si="0"/>
        <v>-0.05</v>
      </c>
    </row>
    <row r="14" spans="3:39" x14ac:dyDescent="0.35">
      <c r="C14">
        <v>3</v>
      </c>
      <c r="D14" t="s">
        <v>18</v>
      </c>
      <c r="E14" t="s">
        <v>5</v>
      </c>
      <c r="F14">
        <v>2</v>
      </c>
      <c r="G14">
        <v>4</v>
      </c>
      <c r="H14">
        <v>7</v>
      </c>
      <c r="I14">
        <v>2</v>
      </c>
      <c r="J14">
        <v>1</v>
      </c>
      <c r="K14">
        <v>0</v>
      </c>
      <c r="L14">
        <v>1</v>
      </c>
      <c r="M14">
        <v>1</v>
      </c>
      <c r="N14">
        <v>4</v>
      </c>
      <c r="O14">
        <v>4</v>
      </c>
      <c r="P14">
        <v>3</v>
      </c>
      <c r="Q14">
        <v>4</v>
      </c>
      <c r="R14">
        <v>2</v>
      </c>
      <c r="S14">
        <v>1</v>
      </c>
      <c r="T14">
        <v>4</v>
      </c>
      <c r="U14">
        <v>4</v>
      </c>
      <c r="V14">
        <v>4</v>
      </c>
      <c r="W14">
        <v>3</v>
      </c>
      <c r="X14">
        <v>6</v>
      </c>
      <c r="Y14">
        <v>2</v>
      </c>
      <c r="Z14">
        <f t="shared" si="0"/>
        <v>2.95</v>
      </c>
    </row>
    <row r="15" spans="3:39" x14ac:dyDescent="0.35">
      <c r="D15" t="s">
        <v>18</v>
      </c>
      <c r="E15" t="s">
        <v>66</v>
      </c>
      <c r="F15">
        <v>0</v>
      </c>
      <c r="G15">
        <v>-3</v>
      </c>
      <c r="H15">
        <v>0</v>
      </c>
      <c r="I15">
        <v>0</v>
      </c>
      <c r="J15">
        <v>-1</v>
      </c>
      <c r="K15">
        <v>-3</v>
      </c>
      <c r="L15">
        <v>0</v>
      </c>
      <c r="M15">
        <v>-2</v>
      </c>
      <c r="N15">
        <v>0</v>
      </c>
      <c r="O15">
        <v>-1</v>
      </c>
      <c r="P15">
        <v>-1</v>
      </c>
      <c r="Q15">
        <v>-1</v>
      </c>
      <c r="R15">
        <v>0</v>
      </c>
      <c r="S15">
        <v>-1</v>
      </c>
      <c r="T15">
        <v>0</v>
      </c>
      <c r="U15">
        <v>0</v>
      </c>
      <c r="V15">
        <v>-1</v>
      </c>
      <c r="W15">
        <v>0</v>
      </c>
      <c r="X15">
        <v>-2</v>
      </c>
      <c r="Y15">
        <v>-1</v>
      </c>
      <c r="Z15">
        <f t="shared" si="0"/>
        <v>-0.85</v>
      </c>
    </row>
    <row r="16" spans="3:39" x14ac:dyDescent="0.35">
      <c r="C16">
        <v>0</v>
      </c>
      <c r="D16" t="s">
        <v>18</v>
      </c>
      <c r="E16" t="s">
        <v>6</v>
      </c>
      <c r="F16">
        <v>0</v>
      </c>
      <c r="G16">
        <v>0</v>
      </c>
      <c r="H16">
        <v>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1</v>
      </c>
      <c r="U16">
        <v>0</v>
      </c>
      <c r="V16">
        <v>0</v>
      </c>
      <c r="W16">
        <v>0</v>
      </c>
      <c r="X16">
        <v>0</v>
      </c>
      <c r="Y16">
        <v>2</v>
      </c>
      <c r="Z16">
        <f t="shared" si="0"/>
        <v>0.35</v>
      </c>
    </row>
    <row r="17" spans="3:34" x14ac:dyDescent="0.35">
      <c r="D17" t="s">
        <v>18</v>
      </c>
      <c r="E17" t="s">
        <v>15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f t="shared" si="0"/>
        <v>0</v>
      </c>
    </row>
    <row r="18" spans="3:34" x14ac:dyDescent="0.35">
      <c r="C18">
        <v>2</v>
      </c>
      <c r="D18" t="s">
        <v>18</v>
      </c>
      <c r="E18" t="s">
        <v>7</v>
      </c>
      <c r="F18">
        <v>1</v>
      </c>
      <c r="G18">
        <v>5</v>
      </c>
      <c r="H18">
        <v>3</v>
      </c>
      <c r="I18">
        <v>0</v>
      </c>
      <c r="J18">
        <v>2</v>
      </c>
      <c r="K18">
        <v>5</v>
      </c>
      <c r="L18">
        <v>1</v>
      </c>
      <c r="M18">
        <v>1</v>
      </c>
      <c r="N18">
        <v>4</v>
      </c>
      <c r="O18">
        <v>3</v>
      </c>
      <c r="P18">
        <v>2</v>
      </c>
      <c r="Q18">
        <v>3</v>
      </c>
      <c r="R18">
        <v>1</v>
      </c>
      <c r="S18">
        <v>3</v>
      </c>
      <c r="T18">
        <v>2</v>
      </c>
      <c r="U18">
        <v>0</v>
      </c>
      <c r="V18">
        <v>2</v>
      </c>
      <c r="W18">
        <v>1</v>
      </c>
      <c r="X18">
        <v>3</v>
      </c>
      <c r="Y18">
        <v>0</v>
      </c>
      <c r="Z18">
        <f t="shared" si="0"/>
        <v>2.1</v>
      </c>
    </row>
    <row r="19" spans="3:34" x14ac:dyDescent="0.35">
      <c r="D19" t="s">
        <v>18</v>
      </c>
      <c r="E19" t="s">
        <v>15</v>
      </c>
      <c r="F19">
        <v>0</v>
      </c>
      <c r="G19">
        <v>-1</v>
      </c>
      <c r="H19">
        <v>0</v>
      </c>
      <c r="I19">
        <v>0</v>
      </c>
      <c r="J19">
        <v>-1</v>
      </c>
      <c r="K19">
        <v>-3</v>
      </c>
      <c r="L19">
        <v>0</v>
      </c>
      <c r="M19">
        <v>-1</v>
      </c>
      <c r="N19">
        <v>-4</v>
      </c>
      <c r="O19">
        <v>-1</v>
      </c>
      <c r="P19">
        <v>-1</v>
      </c>
      <c r="Q19">
        <v>0</v>
      </c>
      <c r="R19">
        <v>0</v>
      </c>
      <c r="S19">
        <v>-3</v>
      </c>
      <c r="T19">
        <v>0</v>
      </c>
      <c r="U19">
        <v>-1</v>
      </c>
      <c r="V19">
        <v>-1</v>
      </c>
      <c r="W19">
        <v>-4</v>
      </c>
      <c r="X19">
        <v>-1</v>
      </c>
      <c r="Y19">
        <v>0</v>
      </c>
      <c r="Z19">
        <f t="shared" si="0"/>
        <v>-1.1000000000000001</v>
      </c>
    </row>
    <row r="20" spans="3:34" x14ac:dyDescent="0.35">
      <c r="C20">
        <v>3</v>
      </c>
      <c r="D20" t="s">
        <v>18</v>
      </c>
      <c r="E20" t="s">
        <v>42</v>
      </c>
      <c r="F20">
        <v>2</v>
      </c>
      <c r="G20">
        <v>5</v>
      </c>
      <c r="H20">
        <v>3</v>
      </c>
      <c r="I20">
        <v>2</v>
      </c>
      <c r="J20">
        <v>2</v>
      </c>
      <c r="K20">
        <v>2</v>
      </c>
      <c r="L20">
        <v>1</v>
      </c>
      <c r="M20">
        <v>2</v>
      </c>
      <c r="N20">
        <v>3</v>
      </c>
      <c r="O20">
        <v>4</v>
      </c>
      <c r="P20">
        <v>3</v>
      </c>
      <c r="Q20">
        <v>4</v>
      </c>
      <c r="R20">
        <v>1</v>
      </c>
      <c r="S20">
        <v>2</v>
      </c>
      <c r="T20">
        <v>3</v>
      </c>
      <c r="U20">
        <v>3</v>
      </c>
      <c r="V20">
        <v>4</v>
      </c>
      <c r="W20">
        <v>3</v>
      </c>
      <c r="X20">
        <v>5</v>
      </c>
      <c r="Y20">
        <v>4</v>
      </c>
      <c r="Z20">
        <f t="shared" si="0"/>
        <v>2.9</v>
      </c>
    </row>
    <row r="21" spans="3:34" x14ac:dyDescent="0.35">
      <c r="D21" t="s">
        <v>18</v>
      </c>
      <c r="E21" s="1" t="s">
        <v>43</v>
      </c>
      <c r="F21">
        <v>0</v>
      </c>
      <c r="G21">
        <v>0</v>
      </c>
      <c r="H21">
        <v>0</v>
      </c>
      <c r="I21">
        <v>0</v>
      </c>
      <c r="J21">
        <v>0</v>
      </c>
      <c r="K21">
        <v>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2</v>
      </c>
      <c r="S21">
        <v>0</v>
      </c>
      <c r="T21">
        <v>0</v>
      </c>
      <c r="U21">
        <v>1</v>
      </c>
      <c r="V21">
        <v>1</v>
      </c>
      <c r="W21">
        <v>1</v>
      </c>
      <c r="X21">
        <v>0</v>
      </c>
      <c r="Y21">
        <v>1</v>
      </c>
      <c r="Z21">
        <f t="shared" si="0"/>
        <v>0.4</v>
      </c>
    </row>
    <row r="22" spans="3:34" x14ac:dyDescent="0.35">
      <c r="C22">
        <v>0</v>
      </c>
      <c r="E22" t="s">
        <v>72</v>
      </c>
    </row>
    <row r="23" spans="3:34" x14ac:dyDescent="0.35">
      <c r="C23">
        <v>2</v>
      </c>
      <c r="D23" t="s">
        <v>18</v>
      </c>
      <c r="E23" t="s">
        <v>20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f t="shared" si="0"/>
        <v>1</v>
      </c>
    </row>
    <row r="24" spans="3:34" x14ac:dyDescent="0.35">
      <c r="C24">
        <v>2</v>
      </c>
      <c r="D24" t="s">
        <v>18</v>
      </c>
      <c r="E24" t="s">
        <v>21</v>
      </c>
      <c r="F24">
        <v>1</v>
      </c>
      <c r="G24">
        <v>2</v>
      </c>
      <c r="H24">
        <v>2</v>
      </c>
      <c r="I24">
        <v>1</v>
      </c>
      <c r="J24">
        <v>1</v>
      </c>
      <c r="K24">
        <v>1</v>
      </c>
      <c r="L24">
        <v>1</v>
      </c>
      <c r="M24">
        <v>2</v>
      </c>
      <c r="N24">
        <v>2</v>
      </c>
      <c r="O24">
        <v>3</v>
      </c>
      <c r="P24">
        <v>2</v>
      </c>
      <c r="Q24">
        <v>1</v>
      </c>
      <c r="R24">
        <v>1</v>
      </c>
      <c r="S24">
        <v>1</v>
      </c>
      <c r="T24">
        <v>1</v>
      </c>
      <c r="U24">
        <v>1</v>
      </c>
      <c r="V24">
        <v>3</v>
      </c>
      <c r="W24">
        <v>1</v>
      </c>
      <c r="X24">
        <v>2</v>
      </c>
      <c r="Y24">
        <v>1</v>
      </c>
      <c r="Z24">
        <f t="shared" si="0"/>
        <v>1.5</v>
      </c>
    </row>
    <row r="25" spans="3:34" x14ac:dyDescent="0.35">
      <c r="D25" t="s">
        <v>18</v>
      </c>
      <c r="E25" t="s">
        <v>72</v>
      </c>
    </row>
    <row r="26" spans="3:34" x14ac:dyDescent="0.35">
      <c r="C26">
        <v>7</v>
      </c>
      <c r="D26" t="s">
        <v>19</v>
      </c>
      <c r="E26" t="s">
        <v>0</v>
      </c>
      <c r="F26">
        <v>4</v>
      </c>
      <c r="G26">
        <v>4</v>
      </c>
      <c r="H26">
        <v>4</v>
      </c>
      <c r="I26">
        <v>5</v>
      </c>
      <c r="J26">
        <v>3</v>
      </c>
      <c r="K26">
        <v>6</v>
      </c>
      <c r="L26">
        <v>2</v>
      </c>
      <c r="M26">
        <v>8</v>
      </c>
      <c r="N26">
        <v>3</v>
      </c>
      <c r="O26">
        <v>7</v>
      </c>
      <c r="P26">
        <v>3</v>
      </c>
      <c r="Q26">
        <v>4</v>
      </c>
      <c r="R26">
        <v>5</v>
      </c>
      <c r="S26">
        <v>4</v>
      </c>
      <c r="T26">
        <v>5</v>
      </c>
      <c r="U26">
        <v>4</v>
      </c>
      <c r="V26">
        <v>6</v>
      </c>
      <c r="W26">
        <v>6</v>
      </c>
      <c r="X26">
        <v>5</v>
      </c>
      <c r="Y26">
        <v>6</v>
      </c>
      <c r="Z26">
        <f t="shared" si="0"/>
        <v>4.7</v>
      </c>
    </row>
    <row r="27" spans="3:34" x14ac:dyDescent="0.35">
      <c r="D27" t="s">
        <v>19</v>
      </c>
      <c r="E27" t="s">
        <v>15</v>
      </c>
      <c r="F27">
        <v>0</v>
      </c>
      <c r="G27">
        <v>0</v>
      </c>
      <c r="H27">
        <v>0</v>
      </c>
      <c r="I27">
        <v>-1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f t="shared" si="0"/>
        <v>-0.05</v>
      </c>
    </row>
    <row r="28" spans="3:34" x14ac:dyDescent="0.35">
      <c r="C28">
        <v>4</v>
      </c>
      <c r="D28" t="s">
        <v>19</v>
      </c>
      <c r="E28" t="s">
        <v>4</v>
      </c>
      <c r="F28">
        <v>0</v>
      </c>
      <c r="G28">
        <v>0</v>
      </c>
      <c r="H28">
        <v>8</v>
      </c>
      <c r="I28">
        <v>8</v>
      </c>
      <c r="J28">
        <v>2</v>
      </c>
      <c r="K28">
        <v>8</v>
      </c>
      <c r="L28">
        <v>0</v>
      </c>
      <c r="M28">
        <v>7</v>
      </c>
      <c r="N28">
        <v>2</v>
      </c>
      <c r="O28">
        <v>4</v>
      </c>
      <c r="P28">
        <v>4</v>
      </c>
      <c r="Q28">
        <v>6</v>
      </c>
      <c r="R28">
        <v>0</v>
      </c>
      <c r="S28">
        <v>6</v>
      </c>
      <c r="T28">
        <v>2</v>
      </c>
      <c r="U28">
        <v>0</v>
      </c>
      <c r="V28">
        <v>5</v>
      </c>
      <c r="W28">
        <v>6</v>
      </c>
      <c r="X28">
        <v>6</v>
      </c>
      <c r="Y28">
        <v>5</v>
      </c>
      <c r="Z28">
        <f t="shared" si="0"/>
        <v>3.95</v>
      </c>
      <c r="AE28" t="s">
        <v>18</v>
      </c>
      <c r="AF28" t="s">
        <v>19</v>
      </c>
      <c r="AG28" t="s">
        <v>76</v>
      </c>
      <c r="AH28" t="s">
        <v>24</v>
      </c>
    </row>
    <row r="29" spans="3:34" x14ac:dyDescent="0.35">
      <c r="D29" t="s">
        <v>19</v>
      </c>
      <c r="E29" t="s">
        <v>15</v>
      </c>
      <c r="F29">
        <v>0</v>
      </c>
      <c r="G29">
        <v>0</v>
      </c>
      <c r="H29">
        <v>0</v>
      </c>
      <c r="I29">
        <v>0</v>
      </c>
      <c r="J29">
        <v>-2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-1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f t="shared" si="0"/>
        <v>-0.15</v>
      </c>
      <c r="AD29" t="s">
        <v>74</v>
      </c>
      <c r="AE29">
        <v>0.1</v>
      </c>
      <c r="AF29">
        <v>4.7</v>
      </c>
      <c r="AG29">
        <v>0.1</v>
      </c>
      <c r="AH29">
        <v>3.95</v>
      </c>
    </row>
    <row r="30" spans="3:34" x14ac:dyDescent="0.35">
      <c r="C30">
        <v>3</v>
      </c>
      <c r="D30" t="s">
        <v>19</v>
      </c>
      <c r="E30" t="s">
        <v>5</v>
      </c>
      <c r="F30">
        <v>2</v>
      </c>
      <c r="G30">
        <v>2</v>
      </c>
      <c r="H30">
        <v>7</v>
      </c>
      <c r="I30">
        <v>6</v>
      </c>
      <c r="J30">
        <v>2</v>
      </c>
      <c r="K30">
        <v>4</v>
      </c>
      <c r="L30">
        <v>2</v>
      </c>
      <c r="M30">
        <v>2</v>
      </c>
      <c r="N30">
        <v>2</v>
      </c>
      <c r="O30">
        <v>4</v>
      </c>
      <c r="P30">
        <v>1</v>
      </c>
      <c r="Q30">
        <v>2</v>
      </c>
      <c r="R30">
        <v>2</v>
      </c>
      <c r="S30">
        <v>3</v>
      </c>
      <c r="T30">
        <v>3</v>
      </c>
      <c r="U30">
        <v>2</v>
      </c>
      <c r="V30">
        <v>3</v>
      </c>
      <c r="W30">
        <v>6</v>
      </c>
      <c r="X30">
        <v>5</v>
      </c>
      <c r="Y30">
        <v>4</v>
      </c>
      <c r="Z30">
        <f t="shared" si="0"/>
        <v>3.2</v>
      </c>
      <c r="AD30" t="s">
        <v>75</v>
      </c>
      <c r="AE30">
        <v>-0.05</v>
      </c>
      <c r="AF30">
        <v>-0.05</v>
      </c>
      <c r="AG30">
        <v>-0.1</v>
      </c>
      <c r="AH30">
        <v>-0.1</v>
      </c>
    </row>
    <row r="31" spans="3:34" x14ac:dyDescent="0.35">
      <c r="D31" t="s">
        <v>19</v>
      </c>
      <c r="E31" t="s">
        <v>15</v>
      </c>
      <c r="F31">
        <v>0</v>
      </c>
      <c r="G31">
        <v>0</v>
      </c>
      <c r="H31">
        <v>0</v>
      </c>
      <c r="I31">
        <v>0</v>
      </c>
      <c r="J31">
        <v>-1</v>
      </c>
      <c r="K31">
        <v>-2</v>
      </c>
      <c r="L31">
        <v>0</v>
      </c>
      <c r="M31">
        <v>-3</v>
      </c>
      <c r="N31">
        <v>0</v>
      </c>
      <c r="O31">
        <v>0</v>
      </c>
      <c r="P31">
        <v>-1</v>
      </c>
      <c r="Q31">
        <v>-2</v>
      </c>
      <c r="R31">
        <v>0</v>
      </c>
      <c r="S31">
        <v>0</v>
      </c>
      <c r="T31">
        <v>0</v>
      </c>
      <c r="U31">
        <v>0</v>
      </c>
      <c r="V31">
        <v>-1</v>
      </c>
      <c r="W31">
        <v>0</v>
      </c>
      <c r="X31">
        <v>0</v>
      </c>
      <c r="Y31">
        <v>-1</v>
      </c>
      <c r="Z31">
        <f t="shared" si="0"/>
        <v>-0.55000000000000004</v>
      </c>
    </row>
    <row r="32" spans="3:34" x14ac:dyDescent="0.35">
      <c r="C32">
        <v>0</v>
      </c>
      <c r="D32" t="s">
        <v>19</v>
      </c>
      <c r="E32" t="s">
        <v>6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2</v>
      </c>
      <c r="N32">
        <v>2</v>
      </c>
      <c r="O32">
        <v>0</v>
      </c>
      <c r="P32">
        <v>0</v>
      </c>
      <c r="Q32">
        <v>1</v>
      </c>
      <c r="R32">
        <v>1</v>
      </c>
      <c r="S32">
        <v>1</v>
      </c>
      <c r="T32">
        <v>1</v>
      </c>
      <c r="U32">
        <v>0</v>
      </c>
      <c r="V32">
        <v>1</v>
      </c>
      <c r="W32">
        <v>2</v>
      </c>
      <c r="X32">
        <v>2</v>
      </c>
      <c r="Y32">
        <v>2</v>
      </c>
      <c r="Z32">
        <f t="shared" si="0"/>
        <v>0.8</v>
      </c>
    </row>
    <row r="33" spans="3:31" x14ac:dyDescent="0.35">
      <c r="D33" t="s">
        <v>19</v>
      </c>
      <c r="E33" t="s">
        <v>15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f t="shared" si="0"/>
        <v>0</v>
      </c>
    </row>
    <row r="34" spans="3:31" x14ac:dyDescent="0.35">
      <c r="C34">
        <v>2</v>
      </c>
      <c r="D34" t="s">
        <v>19</v>
      </c>
      <c r="E34" t="s">
        <v>7</v>
      </c>
      <c r="F34">
        <v>1</v>
      </c>
      <c r="G34">
        <v>0</v>
      </c>
      <c r="H34">
        <v>4</v>
      </c>
      <c r="I34">
        <v>6</v>
      </c>
      <c r="J34">
        <v>2</v>
      </c>
      <c r="K34">
        <v>5</v>
      </c>
      <c r="L34">
        <v>1</v>
      </c>
      <c r="M34">
        <v>4</v>
      </c>
      <c r="N34">
        <v>0</v>
      </c>
      <c r="O34">
        <v>3</v>
      </c>
      <c r="P34">
        <v>2</v>
      </c>
      <c r="Q34">
        <v>4</v>
      </c>
      <c r="R34">
        <v>1</v>
      </c>
      <c r="S34">
        <v>2</v>
      </c>
      <c r="T34">
        <v>2</v>
      </c>
      <c r="U34">
        <v>2</v>
      </c>
      <c r="V34">
        <v>5</v>
      </c>
      <c r="W34">
        <v>3</v>
      </c>
      <c r="X34">
        <v>3</v>
      </c>
      <c r="Y34">
        <v>1</v>
      </c>
      <c r="Z34">
        <f t="shared" si="0"/>
        <v>2.5499999999999998</v>
      </c>
    </row>
    <row r="35" spans="3:31" x14ac:dyDescent="0.35">
      <c r="D35" t="s">
        <v>19</v>
      </c>
      <c r="E35" t="s">
        <v>15</v>
      </c>
      <c r="F35">
        <v>0</v>
      </c>
      <c r="G35">
        <v>0</v>
      </c>
      <c r="H35">
        <v>0</v>
      </c>
      <c r="I35">
        <v>0</v>
      </c>
      <c r="J35">
        <v>0</v>
      </c>
      <c r="K35">
        <v>-2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-2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f t="shared" si="0"/>
        <v>-0.2</v>
      </c>
    </row>
    <row r="36" spans="3:31" x14ac:dyDescent="0.35">
      <c r="C36">
        <v>3</v>
      </c>
      <c r="D36" t="s">
        <v>19</v>
      </c>
      <c r="E36" t="s">
        <v>42</v>
      </c>
      <c r="F36">
        <v>2</v>
      </c>
      <c r="G36">
        <v>2</v>
      </c>
      <c r="H36">
        <v>5</v>
      </c>
      <c r="I36">
        <v>5</v>
      </c>
      <c r="J36">
        <v>2</v>
      </c>
      <c r="K36">
        <v>3</v>
      </c>
      <c r="L36">
        <v>2</v>
      </c>
      <c r="M36">
        <v>5</v>
      </c>
      <c r="N36">
        <v>2</v>
      </c>
      <c r="O36">
        <v>4</v>
      </c>
      <c r="P36">
        <v>2</v>
      </c>
      <c r="Q36">
        <v>4</v>
      </c>
      <c r="R36">
        <v>2</v>
      </c>
      <c r="S36">
        <v>2</v>
      </c>
      <c r="T36">
        <v>3</v>
      </c>
      <c r="U36">
        <v>2</v>
      </c>
      <c r="V36">
        <v>4</v>
      </c>
      <c r="W36">
        <v>5</v>
      </c>
      <c r="X36">
        <v>3</v>
      </c>
      <c r="Y36">
        <v>5</v>
      </c>
      <c r="Z36">
        <f t="shared" si="0"/>
        <v>3.2</v>
      </c>
      <c r="AD36" t="s">
        <v>18</v>
      </c>
      <c r="AE36" t="s">
        <v>76</v>
      </c>
    </row>
    <row r="37" spans="3:31" x14ac:dyDescent="0.35">
      <c r="D37" t="s">
        <v>19</v>
      </c>
      <c r="E37" s="1" t="s">
        <v>43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f t="shared" si="0"/>
        <v>0.05</v>
      </c>
      <c r="AC37" t="s">
        <v>74</v>
      </c>
      <c r="AD37">
        <v>0.1</v>
      </c>
      <c r="AE37">
        <v>0.1</v>
      </c>
    </row>
    <row r="38" spans="3:31" x14ac:dyDescent="0.35">
      <c r="E38" t="s">
        <v>72</v>
      </c>
      <c r="AC38" t="s">
        <v>75</v>
      </c>
      <c r="AD38">
        <v>-0.05</v>
      </c>
      <c r="AE38">
        <v>-0.1</v>
      </c>
    </row>
    <row r="39" spans="3:31" x14ac:dyDescent="0.35">
      <c r="C39">
        <v>2</v>
      </c>
      <c r="D39" t="s">
        <v>19</v>
      </c>
      <c r="E39" t="s">
        <v>20</v>
      </c>
      <c r="F39">
        <v>3</v>
      </c>
      <c r="G39">
        <v>3</v>
      </c>
      <c r="H39">
        <v>3</v>
      </c>
      <c r="I39">
        <v>3</v>
      </c>
      <c r="J39">
        <v>3</v>
      </c>
      <c r="K39">
        <v>3</v>
      </c>
      <c r="L39">
        <v>2</v>
      </c>
      <c r="M39">
        <v>3</v>
      </c>
      <c r="N39">
        <v>3</v>
      </c>
      <c r="O39">
        <v>3</v>
      </c>
      <c r="P39">
        <v>3</v>
      </c>
      <c r="Q39">
        <v>3</v>
      </c>
      <c r="R39">
        <v>3</v>
      </c>
      <c r="S39">
        <v>3</v>
      </c>
      <c r="T39">
        <v>3</v>
      </c>
      <c r="U39">
        <v>3</v>
      </c>
      <c r="V39">
        <v>3</v>
      </c>
      <c r="W39">
        <v>3</v>
      </c>
      <c r="X39">
        <v>3</v>
      </c>
      <c r="Y39">
        <v>3</v>
      </c>
      <c r="Z39">
        <f t="shared" si="0"/>
        <v>2.95</v>
      </c>
    </row>
    <row r="40" spans="3:31" x14ac:dyDescent="0.35">
      <c r="C40">
        <v>2</v>
      </c>
      <c r="D40" t="s">
        <v>19</v>
      </c>
      <c r="E40" t="s">
        <v>21</v>
      </c>
      <c r="F40">
        <v>2</v>
      </c>
      <c r="G40">
        <v>2</v>
      </c>
      <c r="H40">
        <v>3</v>
      </c>
      <c r="I40">
        <v>3</v>
      </c>
      <c r="J40">
        <v>2</v>
      </c>
      <c r="K40">
        <v>3</v>
      </c>
      <c r="L40">
        <v>1</v>
      </c>
      <c r="M40">
        <v>3</v>
      </c>
      <c r="N40">
        <v>2</v>
      </c>
      <c r="O40">
        <v>3</v>
      </c>
      <c r="P40">
        <v>2</v>
      </c>
      <c r="Q40">
        <v>2</v>
      </c>
      <c r="R40">
        <v>2</v>
      </c>
      <c r="S40">
        <v>3</v>
      </c>
      <c r="T40">
        <v>2</v>
      </c>
      <c r="U40">
        <v>2</v>
      </c>
      <c r="V40">
        <v>3</v>
      </c>
      <c r="W40">
        <v>3</v>
      </c>
      <c r="X40">
        <v>3</v>
      </c>
      <c r="Y40">
        <v>2</v>
      </c>
      <c r="Z40">
        <f t="shared" si="0"/>
        <v>2.4</v>
      </c>
    </row>
    <row r="41" spans="3:31" x14ac:dyDescent="0.35">
      <c r="D41" t="s">
        <v>19</v>
      </c>
      <c r="E41" t="s">
        <v>22</v>
      </c>
      <c r="AD41" t="s">
        <v>19</v>
      </c>
      <c r="AE41" t="s">
        <v>24</v>
      </c>
    </row>
    <row r="42" spans="3:31" x14ac:dyDescent="0.35">
      <c r="C42">
        <v>11</v>
      </c>
      <c r="D42" t="s">
        <v>23</v>
      </c>
      <c r="E42" t="s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</v>
      </c>
      <c r="U42">
        <v>0</v>
      </c>
      <c r="V42">
        <v>0</v>
      </c>
      <c r="W42">
        <v>0</v>
      </c>
      <c r="X42">
        <v>0</v>
      </c>
      <c r="Y42">
        <v>0</v>
      </c>
      <c r="Z42">
        <f t="shared" si="0"/>
        <v>0.1</v>
      </c>
      <c r="AC42" t="s">
        <v>74</v>
      </c>
      <c r="AD42">
        <v>4.7</v>
      </c>
      <c r="AE42">
        <v>3.95</v>
      </c>
    </row>
    <row r="43" spans="3:31" x14ac:dyDescent="0.35">
      <c r="D43" t="s">
        <v>23</v>
      </c>
      <c r="E43" t="s">
        <v>15</v>
      </c>
      <c r="F43">
        <v>0</v>
      </c>
      <c r="G43">
        <v>-1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</v>
      </c>
      <c r="U43">
        <v>0</v>
      </c>
      <c r="V43">
        <v>0</v>
      </c>
      <c r="W43">
        <v>0</v>
      </c>
      <c r="X43">
        <v>0</v>
      </c>
      <c r="Y43">
        <v>0</v>
      </c>
      <c r="Z43">
        <f t="shared" si="0"/>
        <v>-0.1</v>
      </c>
      <c r="AC43" t="s">
        <v>75</v>
      </c>
      <c r="AD43">
        <v>-0.05</v>
      </c>
      <c r="AE43">
        <v>-0.1</v>
      </c>
    </row>
    <row r="44" spans="3:31" x14ac:dyDescent="0.35">
      <c r="C44">
        <v>7</v>
      </c>
      <c r="D44" t="s">
        <v>23</v>
      </c>
      <c r="E44" t="s">
        <v>4</v>
      </c>
      <c r="F44">
        <v>0</v>
      </c>
      <c r="G44">
        <v>1</v>
      </c>
      <c r="H44">
        <v>4</v>
      </c>
      <c r="I44">
        <v>0</v>
      </c>
      <c r="J44">
        <v>2</v>
      </c>
      <c r="K44">
        <v>4</v>
      </c>
      <c r="L44">
        <v>0</v>
      </c>
      <c r="M44">
        <v>0</v>
      </c>
      <c r="N44">
        <v>0</v>
      </c>
      <c r="O44">
        <v>1</v>
      </c>
      <c r="P44">
        <v>3</v>
      </c>
      <c r="Q44">
        <v>1</v>
      </c>
      <c r="R44">
        <v>0</v>
      </c>
      <c r="S44">
        <v>4</v>
      </c>
      <c r="T44">
        <v>1</v>
      </c>
      <c r="U44">
        <v>0</v>
      </c>
      <c r="V44">
        <v>2</v>
      </c>
      <c r="W44">
        <v>1</v>
      </c>
      <c r="X44">
        <v>3</v>
      </c>
      <c r="Y44">
        <v>1</v>
      </c>
      <c r="Z44">
        <f t="shared" si="0"/>
        <v>1.4</v>
      </c>
    </row>
    <row r="45" spans="3:31" x14ac:dyDescent="0.35">
      <c r="D45" t="s">
        <v>23</v>
      </c>
      <c r="E45" t="s">
        <v>15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f t="shared" si="0"/>
        <v>0</v>
      </c>
    </row>
    <row r="46" spans="3:31" x14ac:dyDescent="0.35">
      <c r="C46">
        <v>6</v>
      </c>
      <c r="D46" t="s">
        <v>23</v>
      </c>
      <c r="E46" t="s">
        <v>5</v>
      </c>
      <c r="F46">
        <v>2</v>
      </c>
      <c r="G46">
        <v>2</v>
      </c>
      <c r="H46">
        <v>5</v>
      </c>
      <c r="I46">
        <v>3</v>
      </c>
      <c r="J46">
        <v>1</v>
      </c>
      <c r="K46">
        <v>1</v>
      </c>
      <c r="L46">
        <v>1</v>
      </c>
      <c r="M46">
        <v>2</v>
      </c>
      <c r="N46">
        <v>0</v>
      </c>
      <c r="O46">
        <v>1</v>
      </c>
      <c r="P46">
        <v>2</v>
      </c>
      <c r="Q46">
        <v>4</v>
      </c>
      <c r="R46">
        <v>1</v>
      </c>
      <c r="S46">
        <v>2</v>
      </c>
      <c r="T46">
        <v>3</v>
      </c>
      <c r="U46">
        <v>4</v>
      </c>
      <c r="V46">
        <v>1</v>
      </c>
      <c r="W46">
        <v>1</v>
      </c>
      <c r="X46">
        <v>6</v>
      </c>
      <c r="Y46">
        <v>2</v>
      </c>
      <c r="Z46">
        <f t="shared" si="0"/>
        <v>2.2000000000000002</v>
      </c>
    </row>
    <row r="47" spans="3:31" x14ac:dyDescent="0.35">
      <c r="D47" t="s">
        <v>23</v>
      </c>
      <c r="E47" t="s">
        <v>15</v>
      </c>
      <c r="F47">
        <v>0</v>
      </c>
      <c r="G47">
        <v>-2</v>
      </c>
      <c r="H47">
        <v>0</v>
      </c>
      <c r="I47">
        <v>0</v>
      </c>
      <c r="J47">
        <v>-2</v>
      </c>
      <c r="K47">
        <v>-2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-1</v>
      </c>
      <c r="S47">
        <v>-1</v>
      </c>
      <c r="T47">
        <v>-1</v>
      </c>
      <c r="U47">
        <v>0</v>
      </c>
      <c r="V47">
        <v>0</v>
      </c>
      <c r="W47">
        <v>0</v>
      </c>
      <c r="X47">
        <v>-1</v>
      </c>
      <c r="Y47">
        <v>-1</v>
      </c>
      <c r="Z47">
        <f t="shared" si="0"/>
        <v>-0.55000000000000004</v>
      </c>
    </row>
    <row r="48" spans="3:31" x14ac:dyDescent="0.35">
      <c r="C48">
        <v>4</v>
      </c>
      <c r="D48" t="s">
        <v>23</v>
      </c>
      <c r="E48" t="s">
        <v>6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1</v>
      </c>
      <c r="Q48">
        <v>0</v>
      </c>
      <c r="R48">
        <v>0</v>
      </c>
      <c r="S48">
        <v>1</v>
      </c>
      <c r="T48">
        <v>2</v>
      </c>
      <c r="U48">
        <v>0</v>
      </c>
      <c r="V48">
        <v>0</v>
      </c>
      <c r="W48">
        <v>0</v>
      </c>
      <c r="X48">
        <v>1</v>
      </c>
      <c r="Y48">
        <v>2</v>
      </c>
      <c r="Z48">
        <f t="shared" si="0"/>
        <v>0.45</v>
      </c>
    </row>
    <row r="49" spans="3:33" x14ac:dyDescent="0.35">
      <c r="D49" t="s">
        <v>23</v>
      </c>
      <c r="E49" t="s">
        <v>15</v>
      </c>
      <c r="F49">
        <v>0</v>
      </c>
      <c r="G49">
        <v>0</v>
      </c>
      <c r="H49">
        <v>-1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f t="shared" si="0"/>
        <v>-0.05</v>
      </c>
    </row>
    <row r="50" spans="3:33" x14ac:dyDescent="0.35">
      <c r="C50">
        <v>6</v>
      </c>
      <c r="D50" t="s">
        <v>23</v>
      </c>
      <c r="E50" t="s">
        <v>7</v>
      </c>
      <c r="F50">
        <v>1</v>
      </c>
      <c r="G50">
        <v>5</v>
      </c>
      <c r="H50">
        <v>5</v>
      </c>
      <c r="I50">
        <v>0</v>
      </c>
      <c r="J50">
        <v>2</v>
      </c>
      <c r="K50">
        <v>2</v>
      </c>
      <c r="L50">
        <v>0</v>
      </c>
      <c r="M50">
        <v>0</v>
      </c>
      <c r="N50">
        <v>0</v>
      </c>
      <c r="O50">
        <v>1</v>
      </c>
      <c r="P50">
        <v>1</v>
      </c>
      <c r="Q50">
        <v>3</v>
      </c>
      <c r="R50">
        <v>0</v>
      </c>
      <c r="S50">
        <v>4</v>
      </c>
      <c r="T50">
        <v>1</v>
      </c>
      <c r="U50">
        <v>0</v>
      </c>
      <c r="V50">
        <v>1</v>
      </c>
      <c r="W50">
        <v>2</v>
      </c>
      <c r="X50">
        <v>1</v>
      </c>
      <c r="Y50">
        <v>4</v>
      </c>
      <c r="Z50">
        <f t="shared" si="0"/>
        <v>1.65</v>
      </c>
    </row>
    <row r="51" spans="3:33" x14ac:dyDescent="0.35">
      <c r="D51" t="s">
        <v>23</v>
      </c>
      <c r="E51" t="s">
        <v>15</v>
      </c>
      <c r="F51">
        <v>0</v>
      </c>
      <c r="G51">
        <v>0</v>
      </c>
      <c r="H51">
        <v>0</v>
      </c>
      <c r="I51">
        <v>-2</v>
      </c>
      <c r="K51">
        <v>-3</v>
      </c>
      <c r="L51">
        <v>-1</v>
      </c>
      <c r="M51">
        <v>-1</v>
      </c>
      <c r="N51">
        <v>0</v>
      </c>
      <c r="O51">
        <v>0</v>
      </c>
      <c r="P51">
        <v>-1</v>
      </c>
      <c r="Q51">
        <v>0</v>
      </c>
      <c r="R51">
        <v>-2</v>
      </c>
      <c r="S51">
        <v>0</v>
      </c>
      <c r="T51">
        <v>0</v>
      </c>
      <c r="U51">
        <v>-2</v>
      </c>
      <c r="V51">
        <v>0</v>
      </c>
      <c r="W51">
        <v>0</v>
      </c>
      <c r="X51">
        <v>-1</v>
      </c>
      <c r="Y51">
        <v>0</v>
      </c>
      <c r="Z51">
        <f t="shared" si="0"/>
        <v>-0.68421052631578949</v>
      </c>
    </row>
    <row r="52" spans="3:33" x14ac:dyDescent="0.35">
      <c r="C52">
        <v>5</v>
      </c>
      <c r="D52" t="s">
        <v>23</v>
      </c>
      <c r="E52" t="s">
        <v>42</v>
      </c>
      <c r="F52">
        <v>2</v>
      </c>
      <c r="G52">
        <v>3</v>
      </c>
      <c r="H52">
        <v>2</v>
      </c>
      <c r="I52">
        <v>2</v>
      </c>
      <c r="J52">
        <v>2</v>
      </c>
      <c r="K52">
        <v>2</v>
      </c>
      <c r="L52">
        <v>1</v>
      </c>
      <c r="M52">
        <v>1</v>
      </c>
      <c r="N52">
        <v>0</v>
      </c>
      <c r="O52">
        <v>1</v>
      </c>
      <c r="P52">
        <v>2</v>
      </c>
      <c r="Q52">
        <v>3</v>
      </c>
      <c r="R52">
        <v>1</v>
      </c>
      <c r="S52">
        <v>3</v>
      </c>
      <c r="T52">
        <v>4</v>
      </c>
      <c r="U52">
        <v>3</v>
      </c>
      <c r="V52">
        <v>1</v>
      </c>
      <c r="W52">
        <v>1</v>
      </c>
      <c r="X52">
        <v>6</v>
      </c>
      <c r="Y52">
        <v>2</v>
      </c>
      <c r="Z52">
        <f t="shared" si="0"/>
        <v>2.1</v>
      </c>
    </row>
    <row r="53" spans="3:33" x14ac:dyDescent="0.35">
      <c r="D53" t="s">
        <v>23</v>
      </c>
      <c r="E53" t="s">
        <v>43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f t="shared" si="0"/>
        <v>0.2</v>
      </c>
    </row>
    <row r="54" spans="3:33" x14ac:dyDescent="0.35">
      <c r="E54" t="s">
        <v>72</v>
      </c>
      <c r="AF54" t="s">
        <v>18</v>
      </c>
      <c r="AG54" t="s">
        <v>19</v>
      </c>
    </row>
    <row r="55" spans="3:33" x14ac:dyDescent="0.35">
      <c r="C55">
        <v>2</v>
      </c>
      <c r="D55" t="s">
        <v>23</v>
      </c>
      <c r="E55" t="s">
        <v>20</v>
      </c>
      <c r="F55">
        <v>1</v>
      </c>
      <c r="G55">
        <v>1</v>
      </c>
      <c r="H55">
        <v>1</v>
      </c>
      <c r="I55">
        <v>2</v>
      </c>
      <c r="J55">
        <v>1</v>
      </c>
      <c r="K55">
        <v>1</v>
      </c>
      <c r="L55">
        <v>1</v>
      </c>
      <c r="M55">
        <v>1</v>
      </c>
      <c r="N55">
        <v>0</v>
      </c>
      <c r="O55">
        <v>2</v>
      </c>
      <c r="P55">
        <v>1</v>
      </c>
      <c r="Q55">
        <v>1</v>
      </c>
      <c r="R55">
        <v>1</v>
      </c>
      <c r="S55">
        <v>2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f t="shared" si="0"/>
        <v>1.1000000000000001</v>
      </c>
      <c r="AE55" t="s">
        <v>0</v>
      </c>
      <c r="AF55">
        <v>0.1</v>
      </c>
      <c r="AG55">
        <v>4.7</v>
      </c>
    </row>
    <row r="56" spans="3:33" x14ac:dyDescent="0.35">
      <c r="C56">
        <v>2</v>
      </c>
      <c r="D56" t="s">
        <v>23</v>
      </c>
      <c r="E56" t="s">
        <v>21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0</v>
      </c>
      <c r="M56">
        <v>1</v>
      </c>
      <c r="N56">
        <v>0</v>
      </c>
      <c r="O56">
        <v>0</v>
      </c>
      <c r="P56">
        <v>1</v>
      </c>
      <c r="Q56">
        <v>1</v>
      </c>
      <c r="R56">
        <v>1</v>
      </c>
      <c r="S56">
        <v>0</v>
      </c>
      <c r="T56">
        <v>1</v>
      </c>
      <c r="U56">
        <v>1</v>
      </c>
      <c r="V56">
        <v>1</v>
      </c>
      <c r="W56">
        <v>1</v>
      </c>
      <c r="X56">
        <v>2</v>
      </c>
      <c r="Y56">
        <v>1</v>
      </c>
      <c r="Z56">
        <f t="shared" si="0"/>
        <v>0.85</v>
      </c>
      <c r="AE56" t="s">
        <v>14</v>
      </c>
      <c r="AF56">
        <v>-0.05</v>
      </c>
      <c r="AG56">
        <v>-0.05</v>
      </c>
    </row>
    <row r="57" spans="3:33" x14ac:dyDescent="0.35">
      <c r="D57" t="s">
        <v>23</v>
      </c>
      <c r="E57" t="s">
        <v>68</v>
      </c>
      <c r="AE57" t="s">
        <v>4</v>
      </c>
      <c r="AF57">
        <v>3.1</v>
      </c>
      <c r="AG57">
        <v>3.95</v>
      </c>
    </row>
    <row r="58" spans="3:33" x14ac:dyDescent="0.35">
      <c r="C58">
        <v>11</v>
      </c>
      <c r="D58" t="s">
        <v>24</v>
      </c>
      <c r="E58" t="s">
        <v>0</v>
      </c>
      <c r="F58">
        <v>3</v>
      </c>
      <c r="G58">
        <v>4</v>
      </c>
      <c r="H58">
        <v>4</v>
      </c>
      <c r="I58">
        <v>4</v>
      </c>
      <c r="J58">
        <v>3</v>
      </c>
      <c r="K58">
        <v>3</v>
      </c>
      <c r="L58">
        <v>4</v>
      </c>
      <c r="M58">
        <v>6</v>
      </c>
      <c r="N58">
        <v>4</v>
      </c>
      <c r="O58">
        <v>3</v>
      </c>
      <c r="P58">
        <v>3</v>
      </c>
      <c r="Q58">
        <v>4</v>
      </c>
      <c r="R58">
        <v>5</v>
      </c>
      <c r="S58">
        <v>3</v>
      </c>
      <c r="T58">
        <v>4</v>
      </c>
      <c r="U58">
        <v>3</v>
      </c>
      <c r="V58">
        <v>4</v>
      </c>
      <c r="W58">
        <v>6</v>
      </c>
      <c r="X58">
        <v>3</v>
      </c>
      <c r="Y58">
        <v>6</v>
      </c>
      <c r="Z58">
        <f t="shared" si="0"/>
        <v>3.95</v>
      </c>
      <c r="AE58" t="s">
        <v>16</v>
      </c>
      <c r="AF58">
        <v>-0.05</v>
      </c>
      <c r="AG58">
        <v>-0.15</v>
      </c>
    </row>
    <row r="59" spans="3:33" x14ac:dyDescent="0.35">
      <c r="D59" t="s">
        <v>24</v>
      </c>
      <c r="E59" t="s">
        <v>15</v>
      </c>
      <c r="F59">
        <v>0</v>
      </c>
      <c r="G59">
        <v>-1</v>
      </c>
      <c r="H59">
        <v>0</v>
      </c>
      <c r="I59">
        <v>0</v>
      </c>
      <c r="J59">
        <v>0</v>
      </c>
      <c r="K59">
        <v>0</v>
      </c>
      <c r="L59">
        <v>-1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f t="shared" si="0"/>
        <v>-0.1</v>
      </c>
      <c r="AE59" t="s">
        <v>5</v>
      </c>
      <c r="AF59">
        <v>2.95</v>
      </c>
      <c r="AG59">
        <v>3.2</v>
      </c>
    </row>
    <row r="60" spans="3:33" x14ac:dyDescent="0.35">
      <c r="C60">
        <v>7</v>
      </c>
      <c r="D60" t="s">
        <v>24</v>
      </c>
      <c r="E60" t="s">
        <v>4</v>
      </c>
      <c r="F60">
        <v>0</v>
      </c>
      <c r="G60">
        <v>3</v>
      </c>
      <c r="H60">
        <v>6</v>
      </c>
      <c r="I60">
        <v>5</v>
      </c>
      <c r="J60">
        <v>3</v>
      </c>
      <c r="K60">
        <v>8</v>
      </c>
      <c r="L60">
        <v>1</v>
      </c>
      <c r="M60">
        <v>7</v>
      </c>
      <c r="N60">
        <v>1</v>
      </c>
      <c r="O60">
        <v>3</v>
      </c>
      <c r="P60">
        <v>4</v>
      </c>
      <c r="Q60">
        <v>3</v>
      </c>
      <c r="R60">
        <v>1</v>
      </c>
      <c r="S60">
        <v>3</v>
      </c>
      <c r="T60">
        <v>2</v>
      </c>
      <c r="U60">
        <v>1</v>
      </c>
      <c r="V60">
        <v>5</v>
      </c>
      <c r="W60">
        <v>6</v>
      </c>
      <c r="X60">
        <v>5</v>
      </c>
      <c r="Y60">
        <v>4</v>
      </c>
      <c r="Z60">
        <f t="shared" si="0"/>
        <v>3.55</v>
      </c>
      <c r="AE60" t="s">
        <v>66</v>
      </c>
      <c r="AF60">
        <v>-0.85</v>
      </c>
      <c r="AG60">
        <v>-0.55000000000000004</v>
      </c>
    </row>
    <row r="61" spans="3:33" x14ac:dyDescent="0.35">
      <c r="D61" t="s">
        <v>24</v>
      </c>
      <c r="E61" t="s">
        <v>15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-1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-2</v>
      </c>
      <c r="Z61">
        <f t="shared" si="0"/>
        <v>-0.15</v>
      </c>
      <c r="AE61" t="s">
        <v>6</v>
      </c>
      <c r="AF61">
        <v>0.35</v>
      </c>
      <c r="AG61">
        <v>0.8</v>
      </c>
    </row>
    <row r="62" spans="3:33" x14ac:dyDescent="0.35">
      <c r="C62">
        <v>6</v>
      </c>
      <c r="D62" t="s">
        <v>24</v>
      </c>
      <c r="E62" t="s">
        <v>5</v>
      </c>
      <c r="F62">
        <v>2</v>
      </c>
      <c r="G62">
        <v>3</v>
      </c>
      <c r="H62">
        <v>5</v>
      </c>
      <c r="I62">
        <v>4</v>
      </c>
      <c r="J62">
        <v>1</v>
      </c>
      <c r="K62">
        <v>4</v>
      </c>
      <c r="L62">
        <v>3</v>
      </c>
      <c r="M62">
        <v>3</v>
      </c>
      <c r="N62">
        <v>3</v>
      </c>
      <c r="O62">
        <v>3</v>
      </c>
      <c r="P62">
        <v>1</v>
      </c>
      <c r="Q62">
        <v>4</v>
      </c>
      <c r="R62">
        <v>3</v>
      </c>
      <c r="S62">
        <v>2</v>
      </c>
      <c r="T62">
        <v>3</v>
      </c>
      <c r="U62">
        <v>1</v>
      </c>
      <c r="V62">
        <v>4</v>
      </c>
      <c r="W62">
        <v>6</v>
      </c>
      <c r="X62">
        <v>4</v>
      </c>
      <c r="Y62">
        <v>5</v>
      </c>
      <c r="Z62">
        <f t="shared" si="0"/>
        <v>3.2</v>
      </c>
      <c r="AE62" t="s">
        <v>15</v>
      </c>
      <c r="AF62">
        <v>0</v>
      </c>
      <c r="AG62">
        <v>0</v>
      </c>
    </row>
    <row r="63" spans="3:33" x14ac:dyDescent="0.35">
      <c r="D63" t="s">
        <v>24</v>
      </c>
      <c r="E63" t="s">
        <v>15</v>
      </c>
      <c r="F63">
        <v>-1</v>
      </c>
      <c r="G63">
        <v>0</v>
      </c>
      <c r="H63">
        <v>-1</v>
      </c>
      <c r="I63">
        <v>0</v>
      </c>
      <c r="J63">
        <v>-1</v>
      </c>
      <c r="K63">
        <v>-1</v>
      </c>
      <c r="L63">
        <v>0</v>
      </c>
      <c r="M63">
        <v>-5</v>
      </c>
      <c r="N63">
        <v>0</v>
      </c>
      <c r="O63">
        <v>0</v>
      </c>
      <c r="P63">
        <v>-1</v>
      </c>
      <c r="Q63">
        <v>0</v>
      </c>
      <c r="R63">
        <v>0</v>
      </c>
      <c r="S63">
        <v>-2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f t="shared" si="0"/>
        <v>-0.6</v>
      </c>
      <c r="AE63" t="s">
        <v>7</v>
      </c>
      <c r="AF63">
        <v>2.1</v>
      </c>
      <c r="AG63">
        <v>2.5499999999999998</v>
      </c>
    </row>
    <row r="64" spans="3:33" x14ac:dyDescent="0.35">
      <c r="C64">
        <v>4</v>
      </c>
      <c r="D64" t="s">
        <v>24</v>
      </c>
      <c r="E64" t="s">
        <v>6</v>
      </c>
      <c r="F64">
        <v>0</v>
      </c>
      <c r="G64">
        <v>0</v>
      </c>
      <c r="H64">
        <v>3</v>
      </c>
      <c r="I64">
        <v>1</v>
      </c>
      <c r="J64">
        <v>0</v>
      </c>
      <c r="K64">
        <v>2</v>
      </c>
      <c r="L64">
        <v>1</v>
      </c>
      <c r="M64">
        <v>2</v>
      </c>
      <c r="N64">
        <v>0</v>
      </c>
      <c r="O64">
        <v>1</v>
      </c>
      <c r="P64">
        <v>0</v>
      </c>
      <c r="Q64">
        <v>2</v>
      </c>
      <c r="R64">
        <v>1</v>
      </c>
      <c r="S64">
        <v>3</v>
      </c>
      <c r="T64">
        <v>1</v>
      </c>
      <c r="U64">
        <v>1</v>
      </c>
      <c r="V64">
        <v>1</v>
      </c>
      <c r="W64">
        <v>4</v>
      </c>
      <c r="X64">
        <v>2</v>
      </c>
      <c r="Y64">
        <v>6</v>
      </c>
      <c r="Z64">
        <f t="shared" si="0"/>
        <v>1.55</v>
      </c>
      <c r="AE64" t="s">
        <v>15</v>
      </c>
      <c r="AF64">
        <v>-1.1000000000000001</v>
      </c>
      <c r="AG64">
        <v>-0.2</v>
      </c>
    </row>
    <row r="65" spans="3:33" x14ac:dyDescent="0.35">
      <c r="D65" t="s">
        <v>24</v>
      </c>
      <c r="E65" t="s">
        <v>15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-1</v>
      </c>
      <c r="X65">
        <v>0</v>
      </c>
      <c r="Y65">
        <v>0</v>
      </c>
      <c r="Z65">
        <f t="shared" si="0"/>
        <v>-0.05</v>
      </c>
      <c r="AE65" t="s">
        <v>42</v>
      </c>
      <c r="AF65">
        <v>2.9</v>
      </c>
      <c r="AG65">
        <v>3.2</v>
      </c>
    </row>
    <row r="66" spans="3:33" x14ac:dyDescent="0.35">
      <c r="C66">
        <v>6</v>
      </c>
      <c r="D66" t="s">
        <v>24</v>
      </c>
      <c r="E66" t="s">
        <v>7</v>
      </c>
      <c r="F66">
        <v>0</v>
      </c>
      <c r="G66">
        <v>0</v>
      </c>
      <c r="H66">
        <v>3</v>
      </c>
      <c r="I66">
        <v>3</v>
      </c>
      <c r="J66">
        <v>1</v>
      </c>
      <c r="K66">
        <v>4</v>
      </c>
      <c r="L66">
        <v>3</v>
      </c>
      <c r="M66">
        <v>3</v>
      </c>
      <c r="N66">
        <v>0</v>
      </c>
      <c r="O66">
        <v>2</v>
      </c>
      <c r="P66">
        <v>3</v>
      </c>
      <c r="Q66">
        <v>3</v>
      </c>
      <c r="R66">
        <v>2</v>
      </c>
      <c r="S66">
        <v>0</v>
      </c>
      <c r="T66">
        <v>2</v>
      </c>
      <c r="U66">
        <v>1</v>
      </c>
      <c r="V66">
        <v>4</v>
      </c>
      <c r="W66">
        <v>5</v>
      </c>
      <c r="X66">
        <v>2</v>
      </c>
      <c r="Y66">
        <v>2</v>
      </c>
      <c r="Z66">
        <f t="shared" si="0"/>
        <v>2.15</v>
      </c>
      <c r="AE66" s="1" t="s">
        <v>43</v>
      </c>
      <c r="AF66">
        <v>0.4</v>
      </c>
      <c r="AG66">
        <v>0.05</v>
      </c>
    </row>
    <row r="67" spans="3:33" x14ac:dyDescent="0.35">
      <c r="D67" t="s">
        <v>24</v>
      </c>
      <c r="E67" t="s">
        <v>15</v>
      </c>
      <c r="F67">
        <v>0</v>
      </c>
      <c r="G67">
        <v>-2</v>
      </c>
      <c r="H67">
        <v>0</v>
      </c>
      <c r="I67">
        <v>-1</v>
      </c>
      <c r="J67">
        <v>0</v>
      </c>
      <c r="K67">
        <v>-1</v>
      </c>
      <c r="L67">
        <v>0</v>
      </c>
      <c r="M67">
        <v>0</v>
      </c>
      <c r="N67">
        <v>-1</v>
      </c>
      <c r="O67">
        <v>-1</v>
      </c>
      <c r="P67">
        <v>0</v>
      </c>
      <c r="Q67">
        <v>0</v>
      </c>
      <c r="R67">
        <v>-1</v>
      </c>
      <c r="S67">
        <v>-1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f t="shared" si="0"/>
        <v>-0.4</v>
      </c>
      <c r="AE67" t="s">
        <v>72</v>
      </c>
    </row>
    <row r="68" spans="3:33" x14ac:dyDescent="0.35">
      <c r="C68">
        <v>5</v>
      </c>
      <c r="D68" t="s">
        <v>24</v>
      </c>
      <c r="E68" t="s">
        <v>42</v>
      </c>
      <c r="F68">
        <v>2</v>
      </c>
      <c r="G68">
        <v>3</v>
      </c>
      <c r="H68">
        <v>4</v>
      </c>
      <c r="I68">
        <v>4</v>
      </c>
      <c r="J68">
        <v>2</v>
      </c>
      <c r="K68">
        <v>4</v>
      </c>
      <c r="L68">
        <v>3</v>
      </c>
      <c r="M68">
        <v>5</v>
      </c>
      <c r="N68">
        <v>2</v>
      </c>
      <c r="O68">
        <v>2</v>
      </c>
      <c r="P68">
        <v>2</v>
      </c>
      <c r="Q68">
        <v>4</v>
      </c>
      <c r="R68">
        <v>2</v>
      </c>
      <c r="S68">
        <v>3</v>
      </c>
      <c r="T68">
        <v>3</v>
      </c>
      <c r="U68">
        <v>2</v>
      </c>
      <c r="V68">
        <v>2</v>
      </c>
      <c r="W68">
        <v>4</v>
      </c>
      <c r="X68">
        <v>3</v>
      </c>
      <c r="Y68">
        <v>5</v>
      </c>
      <c r="Z68">
        <f t="shared" si="0"/>
        <v>3.05</v>
      </c>
      <c r="AE68" t="s">
        <v>20</v>
      </c>
      <c r="AF68">
        <v>1</v>
      </c>
      <c r="AG68">
        <v>2.95</v>
      </c>
    </row>
    <row r="69" spans="3:33" x14ac:dyDescent="0.35">
      <c r="D69" t="s">
        <v>24</v>
      </c>
      <c r="E69" t="s">
        <v>43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f t="shared" si="0"/>
        <v>0.1</v>
      </c>
      <c r="AE69" t="s">
        <v>21</v>
      </c>
      <c r="AF69">
        <v>1.5</v>
      </c>
      <c r="AG69">
        <v>2.4</v>
      </c>
    </row>
    <row r="70" spans="3:33" x14ac:dyDescent="0.35">
      <c r="E70" t="s">
        <v>72</v>
      </c>
    </row>
    <row r="71" spans="3:33" x14ac:dyDescent="0.35">
      <c r="C71">
        <v>2</v>
      </c>
      <c r="D71" t="s">
        <v>24</v>
      </c>
      <c r="E71" t="s">
        <v>20</v>
      </c>
      <c r="F71">
        <v>2</v>
      </c>
      <c r="G71">
        <v>2</v>
      </c>
      <c r="H71">
        <v>3</v>
      </c>
      <c r="I71">
        <v>3</v>
      </c>
      <c r="J71">
        <v>3</v>
      </c>
      <c r="K71">
        <v>3</v>
      </c>
      <c r="L71">
        <v>2</v>
      </c>
      <c r="M71">
        <v>3</v>
      </c>
      <c r="N71">
        <v>3</v>
      </c>
      <c r="O71">
        <v>3</v>
      </c>
      <c r="P71">
        <v>3</v>
      </c>
      <c r="Q71">
        <v>3</v>
      </c>
      <c r="R71">
        <v>3</v>
      </c>
      <c r="S71">
        <v>3</v>
      </c>
      <c r="T71">
        <v>3</v>
      </c>
      <c r="U71">
        <v>3</v>
      </c>
      <c r="V71">
        <v>3</v>
      </c>
      <c r="W71">
        <v>3</v>
      </c>
      <c r="X71">
        <v>3</v>
      </c>
      <c r="Y71">
        <v>3</v>
      </c>
      <c r="Z71">
        <f t="shared" si="0"/>
        <v>2.85</v>
      </c>
    </row>
    <row r="72" spans="3:33" x14ac:dyDescent="0.35">
      <c r="C72">
        <v>2</v>
      </c>
      <c r="D72" t="s">
        <v>24</v>
      </c>
      <c r="E72" t="s">
        <v>21</v>
      </c>
      <c r="F72">
        <v>2</v>
      </c>
      <c r="G72">
        <v>2</v>
      </c>
      <c r="H72">
        <v>3</v>
      </c>
      <c r="I72">
        <v>2</v>
      </c>
      <c r="J72">
        <v>1</v>
      </c>
      <c r="K72">
        <v>3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  <c r="T72">
        <v>2</v>
      </c>
      <c r="U72">
        <v>1</v>
      </c>
      <c r="V72">
        <v>3</v>
      </c>
      <c r="W72">
        <v>3</v>
      </c>
      <c r="X72">
        <v>2</v>
      </c>
      <c r="Y72">
        <v>3</v>
      </c>
      <c r="Z72">
        <f t="shared" si="0"/>
        <v>2.15</v>
      </c>
    </row>
    <row r="73" spans="3:33" x14ac:dyDescent="0.35">
      <c r="D73" t="s">
        <v>24</v>
      </c>
      <c r="E73" t="s">
        <v>22</v>
      </c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4CE3B-C4F5-4C84-B26A-7970BC01E4CE}">
  <dimension ref="C5:BF76"/>
  <sheetViews>
    <sheetView topLeftCell="B1" zoomScale="98" workbookViewId="0">
      <selection activeCell="F71" sqref="F71"/>
    </sheetView>
  </sheetViews>
  <sheetFormatPr baseColWidth="10" defaultRowHeight="14.5" x14ac:dyDescent="0.35"/>
  <sheetData>
    <row r="5" spans="3:58" x14ac:dyDescent="0.35">
      <c r="BD5" t="s">
        <v>126</v>
      </c>
    </row>
    <row r="7" spans="3:58" x14ac:dyDescent="0.35">
      <c r="C7" t="s">
        <v>41</v>
      </c>
      <c r="F7" t="s">
        <v>8</v>
      </c>
      <c r="G7" t="s">
        <v>9</v>
      </c>
      <c r="H7" t="s">
        <v>10</v>
      </c>
      <c r="I7" t="s">
        <v>11</v>
      </c>
      <c r="J7" t="s">
        <v>25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  <c r="P7" t="s">
        <v>31</v>
      </c>
      <c r="Q7" t="s">
        <v>32</v>
      </c>
      <c r="R7" t="s">
        <v>33</v>
      </c>
      <c r="S7" t="s">
        <v>34</v>
      </c>
      <c r="T7" t="s">
        <v>35</v>
      </c>
      <c r="U7" t="s">
        <v>36</v>
      </c>
      <c r="V7" t="s">
        <v>37</v>
      </c>
      <c r="W7" t="s">
        <v>38</v>
      </c>
      <c r="X7" t="s">
        <v>39</v>
      </c>
      <c r="Y7" t="s">
        <v>40</v>
      </c>
      <c r="Z7" t="s">
        <v>73</v>
      </c>
      <c r="AA7" t="s">
        <v>130</v>
      </c>
      <c r="AB7" t="s">
        <v>131</v>
      </c>
      <c r="AC7" t="s">
        <v>133</v>
      </c>
    </row>
    <row r="8" spans="3:58" x14ac:dyDescent="0.35">
      <c r="C8">
        <v>7</v>
      </c>
      <c r="D8" t="s">
        <v>18</v>
      </c>
      <c r="E8" t="s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f>AVERAGE(F8:Y8)</f>
        <v>0.1</v>
      </c>
      <c r="AA8">
        <f>_xlfn.STDEV.S(F8:Y8)</f>
        <v>0.44721359549995793</v>
      </c>
      <c r="AB8">
        <f>_xlfn.VAR.S(F8:Y8)</f>
        <v>0.19999999999999998</v>
      </c>
      <c r="AC8">
        <f>AA8/Z8</f>
        <v>4.4721359549995787</v>
      </c>
      <c r="AH8" t="s">
        <v>44</v>
      </c>
      <c r="AI8" t="s">
        <v>45</v>
      </c>
      <c r="AJ8" t="s">
        <v>46</v>
      </c>
      <c r="AK8" t="s">
        <v>47</v>
      </c>
      <c r="AL8" t="s">
        <v>48</v>
      </c>
      <c r="AM8" t="s">
        <v>49</v>
      </c>
      <c r="AN8" t="s">
        <v>50</v>
      </c>
      <c r="AO8" t="s">
        <v>51</v>
      </c>
      <c r="AP8" t="s">
        <v>52</v>
      </c>
      <c r="AQ8" t="s">
        <v>53</v>
      </c>
      <c r="AR8" t="s">
        <v>54</v>
      </c>
      <c r="AS8" t="s">
        <v>55</v>
      </c>
      <c r="AT8" t="s">
        <v>56</v>
      </c>
      <c r="AU8" t="s">
        <v>57</v>
      </c>
      <c r="AV8" t="s">
        <v>58</v>
      </c>
      <c r="AW8" t="s">
        <v>59</v>
      </c>
      <c r="AX8" t="s">
        <v>60</v>
      </c>
      <c r="AY8" t="s">
        <v>61</v>
      </c>
      <c r="AZ8" t="s">
        <v>62</v>
      </c>
      <c r="BA8" t="s">
        <v>63</v>
      </c>
      <c r="BB8" t="s">
        <v>73</v>
      </c>
      <c r="BC8" t="s">
        <v>130</v>
      </c>
      <c r="BD8" t="s">
        <v>131</v>
      </c>
      <c r="BE8" t="s">
        <v>132</v>
      </c>
      <c r="BF8" t="s">
        <v>133</v>
      </c>
    </row>
    <row r="9" spans="3:58" x14ac:dyDescent="0.35">
      <c r="D9" t="s">
        <v>18</v>
      </c>
      <c r="E9" t="s">
        <v>14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-1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f t="shared" ref="Z9:Z74" si="0">AVERAGE(F9:Y9)</f>
        <v>-0.05</v>
      </c>
      <c r="AA9">
        <f t="shared" ref="AA9:AA71" si="1">_xlfn.STDEV.S(F9:Y9)</f>
        <v>0.22360679774997896</v>
      </c>
      <c r="AB9">
        <f t="shared" ref="AB9:AB71" si="2">_xlfn.VAR.S(F9:Y9)</f>
        <v>4.9999999999999996E-2</v>
      </c>
      <c r="AC9">
        <f t="shared" ref="AC9:AC71" si="3">AA9/Z9</f>
        <v>-4.4721359549995787</v>
      </c>
      <c r="AF9" t="s">
        <v>18</v>
      </c>
      <c r="AG9" t="s">
        <v>0</v>
      </c>
      <c r="AH9">
        <f t="shared" ref="AH9:BA9" si="4">F8/F18</f>
        <v>0</v>
      </c>
      <c r="AI9">
        <f t="shared" si="4"/>
        <v>0</v>
      </c>
      <c r="AJ9">
        <f t="shared" si="4"/>
        <v>0</v>
      </c>
      <c r="AK9">
        <f t="shared" si="4"/>
        <v>0</v>
      </c>
      <c r="AL9">
        <f t="shared" si="4"/>
        <v>0</v>
      </c>
      <c r="AM9">
        <f t="shared" si="4"/>
        <v>0</v>
      </c>
      <c r="AN9">
        <f t="shared" si="4"/>
        <v>0</v>
      </c>
      <c r="AO9">
        <f t="shared" si="4"/>
        <v>0</v>
      </c>
      <c r="AP9">
        <f t="shared" si="4"/>
        <v>0</v>
      </c>
      <c r="AQ9">
        <f t="shared" si="4"/>
        <v>0</v>
      </c>
      <c r="AR9">
        <f t="shared" si="4"/>
        <v>0</v>
      </c>
      <c r="AS9">
        <f t="shared" si="4"/>
        <v>0</v>
      </c>
      <c r="AT9">
        <f t="shared" si="4"/>
        <v>0</v>
      </c>
      <c r="AU9">
        <f t="shared" si="4"/>
        <v>5.4054054054054057E-2</v>
      </c>
      <c r="AV9">
        <f t="shared" si="4"/>
        <v>0</v>
      </c>
      <c r="AW9">
        <f t="shared" si="4"/>
        <v>0</v>
      </c>
      <c r="AX9">
        <f t="shared" si="4"/>
        <v>0</v>
      </c>
      <c r="AY9">
        <f t="shared" si="4"/>
        <v>0</v>
      </c>
      <c r="AZ9">
        <f t="shared" si="4"/>
        <v>0</v>
      </c>
      <c r="BA9">
        <f t="shared" si="4"/>
        <v>0</v>
      </c>
      <c r="BB9">
        <f>AVERAGE(AH9:BA9)</f>
        <v>2.7027027027027029E-3</v>
      </c>
      <c r="BC9">
        <f>_xlfn.STDEV.S(AH9:BA9)</f>
        <v>1.2086853932431297E-2</v>
      </c>
      <c r="BD9">
        <f>_xlfn.VAR.S(AH9:BA9)</f>
        <v>1.4609203798392989E-4</v>
      </c>
      <c r="BE9">
        <f>BC9*BC9</f>
        <v>1.4609203798392989E-4</v>
      </c>
      <c r="BF9">
        <f>BC9/BB9</f>
        <v>4.4721359549995796</v>
      </c>
    </row>
    <row r="10" spans="3:58" x14ac:dyDescent="0.35">
      <c r="C10">
        <v>4</v>
      </c>
      <c r="D10" t="s">
        <v>18</v>
      </c>
      <c r="E10" t="s">
        <v>4</v>
      </c>
      <c r="F10">
        <v>0</v>
      </c>
      <c r="G10">
        <v>6</v>
      </c>
      <c r="H10">
        <v>3</v>
      </c>
      <c r="I10">
        <v>0</v>
      </c>
      <c r="J10">
        <v>2</v>
      </c>
      <c r="K10">
        <v>4</v>
      </c>
      <c r="L10">
        <v>0</v>
      </c>
      <c r="M10">
        <v>1</v>
      </c>
      <c r="N10">
        <v>6</v>
      </c>
      <c r="O10">
        <v>8</v>
      </c>
      <c r="P10">
        <v>7</v>
      </c>
      <c r="Q10">
        <v>0</v>
      </c>
      <c r="R10">
        <v>0</v>
      </c>
      <c r="S10">
        <v>7</v>
      </c>
      <c r="T10">
        <v>2</v>
      </c>
      <c r="U10">
        <v>0</v>
      </c>
      <c r="V10">
        <v>8</v>
      </c>
      <c r="W10">
        <v>3</v>
      </c>
      <c r="X10">
        <v>4</v>
      </c>
      <c r="Y10">
        <v>1</v>
      </c>
      <c r="Z10">
        <f t="shared" si="0"/>
        <v>3.1</v>
      </c>
      <c r="AA10">
        <f t="shared" si="1"/>
        <v>2.9540338165758504</v>
      </c>
      <c r="AB10">
        <f t="shared" si="2"/>
        <v>8.7263157894736842</v>
      </c>
      <c r="AC10">
        <f t="shared" si="3"/>
        <v>0.9529141343793065</v>
      </c>
      <c r="AF10" t="s">
        <v>18</v>
      </c>
      <c r="AG10" t="s">
        <v>14</v>
      </c>
      <c r="AH10">
        <f t="shared" ref="AH10:BA10" si="5">F9/F18</f>
        <v>0</v>
      </c>
      <c r="AI10">
        <f t="shared" si="5"/>
        <v>0</v>
      </c>
      <c r="AJ10">
        <f t="shared" si="5"/>
        <v>0</v>
      </c>
      <c r="AK10">
        <f t="shared" si="5"/>
        <v>0</v>
      </c>
      <c r="AL10">
        <f t="shared" si="5"/>
        <v>0</v>
      </c>
      <c r="AM10">
        <f t="shared" si="5"/>
        <v>0</v>
      </c>
      <c r="AN10">
        <f t="shared" si="5"/>
        <v>0</v>
      </c>
      <c r="AO10">
        <f t="shared" si="5"/>
        <v>-3.8461538461538464E-2</v>
      </c>
      <c r="AP10">
        <f t="shared" si="5"/>
        <v>0</v>
      </c>
      <c r="AQ10">
        <f t="shared" si="5"/>
        <v>0</v>
      </c>
      <c r="AR10">
        <f t="shared" si="5"/>
        <v>0</v>
      </c>
      <c r="AS10">
        <f t="shared" si="5"/>
        <v>0</v>
      </c>
      <c r="AT10">
        <f t="shared" si="5"/>
        <v>0</v>
      </c>
      <c r="AU10">
        <f t="shared" si="5"/>
        <v>0</v>
      </c>
      <c r="AV10">
        <f t="shared" si="5"/>
        <v>0</v>
      </c>
      <c r="AW10">
        <f t="shared" si="5"/>
        <v>0</v>
      </c>
      <c r="AX10">
        <f t="shared" si="5"/>
        <v>0</v>
      </c>
      <c r="AY10">
        <f t="shared" si="5"/>
        <v>0</v>
      </c>
      <c r="AZ10">
        <f t="shared" si="5"/>
        <v>0</v>
      </c>
      <c r="BA10">
        <f t="shared" si="5"/>
        <v>0</v>
      </c>
      <c r="BB10">
        <f t="shared" ref="BB10:BB18" si="6">AVERAGE(AH10:BA10)</f>
        <v>-1.9230769230769232E-3</v>
      </c>
      <c r="BC10">
        <f t="shared" ref="BC10:BC18" si="7">_xlfn.STDEV.S(AH10:BA10)</f>
        <v>8.6002614519222684E-3</v>
      </c>
      <c r="BD10">
        <f t="shared" ref="BD10:BD18" si="8">_xlfn.VAR.S(AH10:BA10)</f>
        <v>7.3964497041420133E-5</v>
      </c>
      <c r="BE10">
        <f t="shared" ref="BE10:BE18" si="9">BC10*BC10</f>
        <v>7.3964497041420119E-5</v>
      </c>
      <c r="BF10">
        <f t="shared" ref="BF10:BF18" si="10">BC10/BB10</f>
        <v>-4.4721359549995796</v>
      </c>
    </row>
    <row r="11" spans="3:58" x14ac:dyDescent="0.35">
      <c r="D11" t="s">
        <v>18</v>
      </c>
      <c r="E11" t="s">
        <v>16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-1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f t="shared" si="0"/>
        <v>-0.05</v>
      </c>
      <c r="AA11">
        <f t="shared" si="1"/>
        <v>0.22360679774997896</v>
      </c>
      <c r="AB11">
        <f t="shared" si="2"/>
        <v>4.9999999999999996E-2</v>
      </c>
      <c r="AC11">
        <f t="shared" si="3"/>
        <v>-4.4721359549995787</v>
      </c>
      <c r="AF11" t="s">
        <v>18</v>
      </c>
      <c r="AG11" t="s">
        <v>4</v>
      </c>
      <c r="AH11">
        <f t="shared" ref="AH11:BA11" si="11">F10/F18</f>
        <v>0</v>
      </c>
      <c r="AI11">
        <f t="shared" si="11"/>
        <v>0.15</v>
      </c>
      <c r="AJ11">
        <f t="shared" si="11"/>
        <v>7.6923076923076927E-2</v>
      </c>
      <c r="AK11">
        <f t="shared" si="11"/>
        <v>0</v>
      </c>
      <c r="AL11">
        <f t="shared" si="11"/>
        <v>0.1</v>
      </c>
      <c r="AM11">
        <f t="shared" si="11"/>
        <v>9.7560975609756101E-2</v>
      </c>
      <c r="AN11">
        <f t="shared" si="11"/>
        <v>0</v>
      </c>
      <c r="AO11">
        <f t="shared" si="11"/>
        <v>3.8461538461538464E-2</v>
      </c>
      <c r="AP11">
        <f t="shared" si="11"/>
        <v>0.14285714285714285</v>
      </c>
      <c r="AQ11">
        <f t="shared" si="11"/>
        <v>0.18181818181818182</v>
      </c>
      <c r="AR11">
        <f t="shared" si="11"/>
        <v>0.19444444444444445</v>
      </c>
      <c r="AS11">
        <f t="shared" si="11"/>
        <v>0</v>
      </c>
      <c r="AT11">
        <f t="shared" si="11"/>
        <v>0</v>
      </c>
      <c r="AU11">
        <f t="shared" si="11"/>
        <v>0.1891891891891892</v>
      </c>
      <c r="AV11">
        <f t="shared" si="11"/>
        <v>8.6956521739130432E-2</v>
      </c>
      <c r="AW11">
        <f t="shared" si="11"/>
        <v>0</v>
      </c>
      <c r="AX11">
        <f t="shared" si="11"/>
        <v>0.18181818181818182</v>
      </c>
      <c r="AY11">
        <f t="shared" si="11"/>
        <v>0.11538461538461539</v>
      </c>
      <c r="AZ11">
        <f t="shared" si="11"/>
        <v>9.7560975609756101E-2</v>
      </c>
      <c r="BA11">
        <f t="shared" si="11"/>
        <v>0.05</v>
      </c>
      <c r="BB11">
        <f t="shared" si="6"/>
        <v>8.514874219275069E-2</v>
      </c>
      <c r="BC11">
        <f t="shared" si="7"/>
        <v>7.160809820944114E-2</v>
      </c>
      <c r="BD11">
        <f t="shared" si="8"/>
        <v>5.1277197291729679E-3</v>
      </c>
      <c r="BE11">
        <f t="shared" si="9"/>
        <v>5.127719729172967E-3</v>
      </c>
      <c r="BF11">
        <f t="shared" si="10"/>
        <v>0.84097658245311857</v>
      </c>
    </row>
    <row r="12" spans="3:58" x14ac:dyDescent="0.35">
      <c r="C12">
        <v>3</v>
      </c>
      <c r="D12" t="s">
        <v>18</v>
      </c>
      <c r="E12" t="s">
        <v>5</v>
      </c>
      <c r="F12">
        <v>2</v>
      </c>
      <c r="G12">
        <v>4</v>
      </c>
      <c r="H12">
        <v>7</v>
      </c>
      <c r="I12">
        <v>2</v>
      </c>
      <c r="J12">
        <v>1</v>
      </c>
      <c r="K12">
        <v>0</v>
      </c>
      <c r="L12">
        <v>1</v>
      </c>
      <c r="M12">
        <v>1</v>
      </c>
      <c r="N12">
        <v>4</v>
      </c>
      <c r="O12">
        <v>4</v>
      </c>
      <c r="P12">
        <v>3</v>
      </c>
      <c r="Q12">
        <v>4</v>
      </c>
      <c r="R12">
        <v>2</v>
      </c>
      <c r="S12">
        <v>1</v>
      </c>
      <c r="T12">
        <v>4</v>
      </c>
      <c r="U12">
        <v>4</v>
      </c>
      <c r="V12">
        <v>4</v>
      </c>
      <c r="W12">
        <v>3</v>
      </c>
      <c r="X12">
        <v>6</v>
      </c>
      <c r="Y12">
        <v>2</v>
      </c>
      <c r="Z12">
        <f t="shared" si="0"/>
        <v>2.95</v>
      </c>
      <c r="AA12">
        <f t="shared" si="1"/>
        <v>1.7910596686995397</v>
      </c>
      <c r="AB12">
        <f t="shared" si="2"/>
        <v>3.2078947368421047</v>
      </c>
      <c r="AC12">
        <f t="shared" si="3"/>
        <v>0.60713887074560668</v>
      </c>
      <c r="AF12" t="s">
        <v>18</v>
      </c>
      <c r="AG12" t="s">
        <v>16</v>
      </c>
      <c r="AH12">
        <f t="shared" ref="AH12:BA12" si="12">F11/F18</f>
        <v>0</v>
      </c>
      <c r="AI12">
        <f t="shared" si="12"/>
        <v>0</v>
      </c>
      <c r="AJ12">
        <f t="shared" si="12"/>
        <v>0</v>
      </c>
      <c r="AK12">
        <f t="shared" si="12"/>
        <v>0</v>
      </c>
      <c r="AL12">
        <f t="shared" si="12"/>
        <v>0</v>
      </c>
      <c r="AM12">
        <f t="shared" si="12"/>
        <v>0</v>
      </c>
      <c r="AN12">
        <f t="shared" si="12"/>
        <v>0</v>
      </c>
      <c r="AO12">
        <f t="shared" si="12"/>
        <v>0</v>
      </c>
      <c r="AP12">
        <f t="shared" si="12"/>
        <v>0</v>
      </c>
      <c r="AQ12">
        <f t="shared" si="12"/>
        <v>0</v>
      </c>
      <c r="AR12">
        <f t="shared" si="12"/>
        <v>0</v>
      </c>
      <c r="AS12">
        <f t="shared" si="12"/>
        <v>0</v>
      </c>
      <c r="AT12">
        <f t="shared" si="12"/>
        <v>0</v>
      </c>
      <c r="AU12">
        <f t="shared" si="12"/>
        <v>-2.7027027027027029E-2</v>
      </c>
      <c r="AV12">
        <f t="shared" si="12"/>
        <v>0</v>
      </c>
      <c r="AW12">
        <f t="shared" si="12"/>
        <v>0</v>
      </c>
      <c r="AX12">
        <f t="shared" si="12"/>
        <v>0</v>
      </c>
      <c r="AY12">
        <f t="shared" si="12"/>
        <v>0</v>
      </c>
      <c r="AZ12">
        <f t="shared" si="12"/>
        <v>0</v>
      </c>
      <c r="BA12">
        <f t="shared" si="12"/>
        <v>0</v>
      </c>
      <c r="BB12">
        <f t="shared" si="6"/>
        <v>-1.3513513513513514E-3</v>
      </c>
      <c r="BC12">
        <f t="shared" si="7"/>
        <v>6.0434269662156485E-3</v>
      </c>
      <c r="BD12">
        <f t="shared" si="8"/>
        <v>3.6523009495982474E-5</v>
      </c>
      <c r="BE12">
        <f t="shared" si="9"/>
        <v>3.6523009495982474E-5</v>
      </c>
      <c r="BF12">
        <f t="shared" si="10"/>
        <v>-4.4721359549995796</v>
      </c>
    </row>
    <row r="13" spans="3:58" x14ac:dyDescent="0.35">
      <c r="D13" t="s">
        <v>18</v>
      </c>
      <c r="E13" t="s">
        <v>66</v>
      </c>
      <c r="F13">
        <v>0</v>
      </c>
      <c r="G13">
        <v>-3</v>
      </c>
      <c r="H13">
        <v>0</v>
      </c>
      <c r="I13">
        <v>0</v>
      </c>
      <c r="J13">
        <v>-1</v>
      </c>
      <c r="K13">
        <v>-3</v>
      </c>
      <c r="L13">
        <v>0</v>
      </c>
      <c r="M13">
        <v>-2</v>
      </c>
      <c r="N13">
        <v>0</v>
      </c>
      <c r="O13">
        <v>-1</v>
      </c>
      <c r="P13">
        <v>-1</v>
      </c>
      <c r="Q13">
        <v>-1</v>
      </c>
      <c r="R13">
        <v>0</v>
      </c>
      <c r="S13">
        <v>-1</v>
      </c>
      <c r="T13">
        <v>0</v>
      </c>
      <c r="U13">
        <v>0</v>
      </c>
      <c r="V13">
        <v>-1</v>
      </c>
      <c r="W13">
        <v>0</v>
      </c>
      <c r="X13">
        <v>-2</v>
      </c>
      <c r="Y13">
        <v>-1</v>
      </c>
      <c r="Z13">
        <f t="shared" si="0"/>
        <v>-0.85</v>
      </c>
      <c r="AA13">
        <f t="shared" si="1"/>
        <v>0.98808693416808435</v>
      </c>
      <c r="AB13">
        <f t="shared" si="2"/>
        <v>0.97631578947368425</v>
      </c>
      <c r="AC13">
        <f t="shared" si="3"/>
        <v>-1.1624552166683346</v>
      </c>
      <c r="AF13" t="s">
        <v>18</v>
      </c>
      <c r="AG13" t="s">
        <v>5</v>
      </c>
      <c r="AH13">
        <f t="shared" ref="AH13:BA13" si="13">F12/F18</f>
        <v>0.11764705882352941</v>
      </c>
      <c r="AI13">
        <f t="shared" si="13"/>
        <v>0.1</v>
      </c>
      <c r="AJ13">
        <f t="shared" si="13"/>
        <v>0.17948717948717949</v>
      </c>
      <c r="AK13">
        <f t="shared" si="13"/>
        <v>0.13333333333333333</v>
      </c>
      <c r="AL13">
        <f t="shared" si="13"/>
        <v>0.05</v>
      </c>
      <c r="AM13">
        <f t="shared" si="13"/>
        <v>0</v>
      </c>
      <c r="AN13">
        <f t="shared" si="13"/>
        <v>0.125</v>
      </c>
      <c r="AO13">
        <f t="shared" si="13"/>
        <v>3.8461538461538464E-2</v>
      </c>
      <c r="AP13">
        <f t="shared" si="13"/>
        <v>9.5238095238095233E-2</v>
      </c>
      <c r="AQ13">
        <f t="shared" si="13"/>
        <v>9.0909090909090912E-2</v>
      </c>
      <c r="AR13">
        <f t="shared" si="13"/>
        <v>8.3333333333333329E-2</v>
      </c>
      <c r="AS13">
        <f t="shared" si="13"/>
        <v>0.14814814814814814</v>
      </c>
      <c r="AT13">
        <f t="shared" si="13"/>
        <v>0.11764705882352941</v>
      </c>
      <c r="AU13">
        <f t="shared" si="13"/>
        <v>2.7027027027027029E-2</v>
      </c>
      <c r="AV13">
        <f t="shared" si="13"/>
        <v>0.17391304347826086</v>
      </c>
      <c r="AW13">
        <f t="shared" si="13"/>
        <v>0.22222222222222221</v>
      </c>
      <c r="AX13">
        <f t="shared" si="13"/>
        <v>9.0909090909090912E-2</v>
      </c>
      <c r="AY13">
        <f t="shared" si="13"/>
        <v>0.11538461538461539</v>
      </c>
      <c r="AZ13">
        <f t="shared" si="13"/>
        <v>0.14634146341463414</v>
      </c>
      <c r="BA13">
        <f t="shared" si="13"/>
        <v>0.1</v>
      </c>
      <c r="BB13">
        <f t="shared" si="6"/>
        <v>0.10775011494968142</v>
      </c>
      <c r="BC13">
        <f t="shared" si="7"/>
        <v>5.3634987474636242E-2</v>
      </c>
      <c r="BD13">
        <f t="shared" si="8"/>
        <v>2.8767118814043862E-3</v>
      </c>
      <c r="BE13">
        <f t="shared" si="9"/>
        <v>2.8767118814043867E-3</v>
      </c>
      <c r="BF13">
        <f t="shared" si="10"/>
        <v>0.4977719745327735</v>
      </c>
    </row>
    <row r="14" spans="3:58" x14ac:dyDescent="0.35">
      <c r="C14">
        <v>0</v>
      </c>
      <c r="D14" t="s">
        <v>18</v>
      </c>
      <c r="E14" t="s">
        <v>6</v>
      </c>
      <c r="F14">
        <v>0</v>
      </c>
      <c r="G14">
        <v>0</v>
      </c>
      <c r="H14">
        <v>3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1</v>
      </c>
      <c r="U14">
        <v>0</v>
      </c>
      <c r="V14">
        <v>0</v>
      </c>
      <c r="W14">
        <v>0</v>
      </c>
      <c r="X14">
        <v>0</v>
      </c>
      <c r="Y14">
        <v>2</v>
      </c>
      <c r="Z14">
        <f t="shared" si="0"/>
        <v>0.35</v>
      </c>
      <c r="AA14">
        <f t="shared" si="1"/>
        <v>0.81272770088724899</v>
      </c>
      <c r="AB14">
        <f t="shared" si="2"/>
        <v>0.66052631578947374</v>
      </c>
      <c r="AC14">
        <f t="shared" si="3"/>
        <v>2.3220791453921401</v>
      </c>
      <c r="AF14" t="s">
        <v>18</v>
      </c>
      <c r="AG14" t="s">
        <v>66</v>
      </c>
      <c r="AH14">
        <f t="shared" ref="AH14:BA14" si="14">F13/F18</f>
        <v>0</v>
      </c>
      <c r="AI14">
        <f t="shared" si="14"/>
        <v>-7.4999999999999997E-2</v>
      </c>
      <c r="AJ14">
        <f t="shared" si="14"/>
        <v>0</v>
      </c>
      <c r="AK14">
        <f t="shared" si="14"/>
        <v>0</v>
      </c>
      <c r="AL14">
        <f t="shared" si="14"/>
        <v>-0.05</v>
      </c>
      <c r="AM14">
        <f t="shared" si="14"/>
        <v>-7.3170731707317069E-2</v>
      </c>
      <c r="AN14">
        <f t="shared" si="14"/>
        <v>0</v>
      </c>
      <c r="AO14">
        <f t="shared" si="14"/>
        <v>-7.6923076923076927E-2</v>
      </c>
      <c r="AP14">
        <f t="shared" si="14"/>
        <v>0</v>
      </c>
      <c r="AQ14">
        <f t="shared" si="14"/>
        <v>-2.2727272727272728E-2</v>
      </c>
      <c r="AR14">
        <f t="shared" si="14"/>
        <v>-2.7777777777777776E-2</v>
      </c>
      <c r="AS14">
        <f t="shared" si="14"/>
        <v>-3.7037037037037035E-2</v>
      </c>
      <c r="AT14">
        <f t="shared" si="14"/>
        <v>0</v>
      </c>
      <c r="AU14">
        <f t="shared" si="14"/>
        <v>-2.7027027027027029E-2</v>
      </c>
      <c r="AV14">
        <f t="shared" si="14"/>
        <v>0</v>
      </c>
      <c r="AW14">
        <f t="shared" si="14"/>
        <v>0</v>
      </c>
      <c r="AX14">
        <f t="shared" si="14"/>
        <v>-2.2727272727272728E-2</v>
      </c>
      <c r="AY14">
        <f t="shared" si="14"/>
        <v>0</v>
      </c>
      <c r="AZ14">
        <f t="shared" si="14"/>
        <v>-4.878048780487805E-2</v>
      </c>
      <c r="BA14">
        <f t="shared" si="14"/>
        <v>-0.05</v>
      </c>
      <c r="BB14">
        <f t="shared" si="6"/>
        <v>-2.5558534186582965E-2</v>
      </c>
      <c r="BC14">
        <f t="shared" si="7"/>
        <v>2.8207635611431622E-2</v>
      </c>
      <c r="BD14">
        <f t="shared" si="8"/>
        <v>7.956707067873055E-4</v>
      </c>
      <c r="BE14">
        <f t="shared" si="9"/>
        <v>7.9567070678730539E-4</v>
      </c>
      <c r="BF14">
        <f t="shared" si="10"/>
        <v>-1.1036484097839738</v>
      </c>
    </row>
    <row r="15" spans="3:58" x14ac:dyDescent="0.35">
      <c r="D15" t="s">
        <v>18</v>
      </c>
      <c r="E15" t="s">
        <v>15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f t="shared" si="0"/>
        <v>0</v>
      </c>
      <c r="AA15">
        <f t="shared" si="1"/>
        <v>0</v>
      </c>
      <c r="AB15">
        <f t="shared" si="2"/>
        <v>0</v>
      </c>
      <c r="AC15">
        <v>0</v>
      </c>
      <c r="AF15" t="s">
        <v>18</v>
      </c>
      <c r="AG15" t="s">
        <v>6</v>
      </c>
      <c r="AH15">
        <f t="shared" ref="AH15:BA15" si="15">F14/F18</f>
        <v>0</v>
      </c>
      <c r="AI15">
        <f t="shared" si="15"/>
        <v>0</v>
      </c>
      <c r="AJ15">
        <f t="shared" si="15"/>
        <v>7.6923076923076927E-2</v>
      </c>
      <c r="AK15">
        <f t="shared" si="15"/>
        <v>0</v>
      </c>
      <c r="AL15">
        <f t="shared" si="15"/>
        <v>0</v>
      </c>
      <c r="AM15">
        <f t="shared" si="15"/>
        <v>0</v>
      </c>
      <c r="AN15">
        <f t="shared" si="15"/>
        <v>0</v>
      </c>
      <c r="AO15">
        <f t="shared" si="15"/>
        <v>0</v>
      </c>
      <c r="AP15">
        <f t="shared" si="15"/>
        <v>0</v>
      </c>
      <c r="AQ15">
        <f t="shared" si="15"/>
        <v>0</v>
      </c>
      <c r="AR15">
        <f t="shared" si="15"/>
        <v>0</v>
      </c>
      <c r="AS15">
        <f t="shared" si="15"/>
        <v>0</v>
      </c>
      <c r="AT15">
        <f t="shared" si="15"/>
        <v>0</v>
      </c>
      <c r="AU15">
        <f t="shared" si="15"/>
        <v>2.7027027027027029E-2</v>
      </c>
      <c r="AV15">
        <f t="shared" si="15"/>
        <v>4.3478260869565216E-2</v>
      </c>
      <c r="AW15">
        <f t="shared" si="15"/>
        <v>0</v>
      </c>
      <c r="AX15">
        <f t="shared" si="15"/>
        <v>0</v>
      </c>
      <c r="AY15">
        <f t="shared" si="15"/>
        <v>0</v>
      </c>
      <c r="AZ15">
        <f t="shared" si="15"/>
        <v>0</v>
      </c>
      <c r="BA15">
        <f t="shared" si="15"/>
        <v>0.1</v>
      </c>
      <c r="BB15">
        <f t="shared" si="6"/>
        <v>1.2371418240983459E-2</v>
      </c>
      <c r="BC15">
        <f t="shared" si="7"/>
        <v>2.8540773544277115E-2</v>
      </c>
      <c r="BD15">
        <f t="shared" si="8"/>
        <v>8.1457575450570856E-4</v>
      </c>
      <c r="BE15">
        <f t="shared" si="9"/>
        <v>8.1457575450570845E-4</v>
      </c>
      <c r="BF15">
        <f t="shared" si="10"/>
        <v>2.3069928595355838</v>
      </c>
    </row>
    <row r="16" spans="3:58" x14ac:dyDescent="0.35">
      <c r="C16">
        <v>2</v>
      </c>
      <c r="D16" t="s">
        <v>18</v>
      </c>
      <c r="E16" t="s">
        <v>7</v>
      </c>
      <c r="F16">
        <v>1</v>
      </c>
      <c r="G16">
        <v>5</v>
      </c>
      <c r="H16">
        <v>3</v>
      </c>
      <c r="I16">
        <v>0</v>
      </c>
      <c r="J16">
        <v>2</v>
      </c>
      <c r="K16">
        <v>5</v>
      </c>
      <c r="L16">
        <v>1</v>
      </c>
      <c r="M16">
        <v>1</v>
      </c>
      <c r="N16">
        <v>4</v>
      </c>
      <c r="O16">
        <v>3</v>
      </c>
      <c r="P16">
        <v>2</v>
      </c>
      <c r="Q16">
        <v>3</v>
      </c>
      <c r="R16">
        <v>1</v>
      </c>
      <c r="S16">
        <v>3</v>
      </c>
      <c r="T16">
        <v>2</v>
      </c>
      <c r="U16">
        <v>0</v>
      </c>
      <c r="V16">
        <v>2</v>
      </c>
      <c r="W16">
        <v>1</v>
      </c>
      <c r="X16">
        <v>3</v>
      </c>
      <c r="Y16">
        <v>0</v>
      </c>
      <c r="Z16">
        <f t="shared" si="0"/>
        <v>2.1</v>
      </c>
      <c r="AA16">
        <f t="shared" si="1"/>
        <v>1.5183093090324964</v>
      </c>
      <c r="AB16">
        <f t="shared" si="2"/>
        <v>2.3052631578947369</v>
      </c>
      <c r="AC16">
        <f t="shared" si="3"/>
        <v>0.72300443287261729</v>
      </c>
      <c r="AF16" t="s">
        <v>18</v>
      </c>
      <c r="AG16" t="s">
        <v>15</v>
      </c>
      <c r="AH16">
        <f t="shared" ref="AH16:BA16" si="16">F15/F18</f>
        <v>0</v>
      </c>
      <c r="AI16">
        <f t="shared" si="16"/>
        <v>0</v>
      </c>
      <c r="AJ16">
        <f t="shared" si="16"/>
        <v>0</v>
      </c>
      <c r="AK16">
        <f t="shared" si="16"/>
        <v>0</v>
      </c>
      <c r="AL16">
        <f t="shared" si="16"/>
        <v>0</v>
      </c>
      <c r="AM16">
        <f t="shared" si="16"/>
        <v>0</v>
      </c>
      <c r="AN16">
        <f t="shared" si="16"/>
        <v>0</v>
      </c>
      <c r="AO16">
        <f t="shared" si="16"/>
        <v>0</v>
      </c>
      <c r="AP16">
        <f t="shared" si="16"/>
        <v>0</v>
      </c>
      <c r="AQ16">
        <f t="shared" si="16"/>
        <v>0</v>
      </c>
      <c r="AR16">
        <f t="shared" si="16"/>
        <v>0</v>
      </c>
      <c r="AS16">
        <f t="shared" si="16"/>
        <v>0</v>
      </c>
      <c r="AT16">
        <f t="shared" si="16"/>
        <v>0</v>
      </c>
      <c r="AU16">
        <f t="shared" si="16"/>
        <v>0</v>
      </c>
      <c r="AV16">
        <f t="shared" si="16"/>
        <v>0</v>
      </c>
      <c r="AW16">
        <f t="shared" si="16"/>
        <v>0</v>
      </c>
      <c r="AX16">
        <f t="shared" si="16"/>
        <v>0</v>
      </c>
      <c r="AY16">
        <f t="shared" si="16"/>
        <v>0</v>
      </c>
      <c r="AZ16">
        <f t="shared" si="16"/>
        <v>0</v>
      </c>
      <c r="BA16">
        <f t="shared" si="16"/>
        <v>0</v>
      </c>
      <c r="BB16">
        <f t="shared" si="6"/>
        <v>0</v>
      </c>
      <c r="BC16">
        <f t="shared" si="7"/>
        <v>0</v>
      </c>
      <c r="BD16">
        <f t="shared" si="8"/>
        <v>0</v>
      </c>
      <c r="BE16">
        <f t="shared" si="9"/>
        <v>0</v>
      </c>
      <c r="BF16">
        <v>0</v>
      </c>
    </row>
    <row r="17" spans="3:58" x14ac:dyDescent="0.35">
      <c r="D17" t="s">
        <v>18</v>
      </c>
      <c r="E17" t="s">
        <v>15</v>
      </c>
      <c r="F17">
        <v>0</v>
      </c>
      <c r="G17">
        <v>-1</v>
      </c>
      <c r="H17">
        <v>0</v>
      </c>
      <c r="I17">
        <v>0</v>
      </c>
      <c r="J17">
        <v>-1</v>
      </c>
      <c r="K17">
        <v>-3</v>
      </c>
      <c r="L17">
        <v>0</v>
      </c>
      <c r="M17">
        <v>-1</v>
      </c>
      <c r="N17">
        <v>-4</v>
      </c>
      <c r="O17">
        <v>-1</v>
      </c>
      <c r="P17">
        <v>-1</v>
      </c>
      <c r="Q17">
        <v>0</v>
      </c>
      <c r="R17">
        <v>0</v>
      </c>
      <c r="S17">
        <v>-3</v>
      </c>
      <c r="T17">
        <v>0</v>
      </c>
      <c r="U17">
        <v>-1</v>
      </c>
      <c r="V17">
        <v>-1</v>
      </c>
      <c r="W17">
        <v>-4</v>
      </c>
      <c r="X17">
        <v>-1</v>
      </c>
      <c r="Y17">
        <v>0</v>
      </c>
      <c r="Z17">
        <f t="shared" si="0"/>
        <v>-1.1000000000000001</v>
      </c>
      <c r="AA17">
        <f t="shared" si="1"/>
        <v>1.3337718577107003</v>
      </c>
      <c r="AB17">
        <f t="shared" si="2"/>
        <v>1.7789473684210524</v>
      </c>
      <c r="AC17">
        <f t="shared" si="3"/>
        <v>-1.2125198706460911</v>
      </c>
      <c r="AF17" t="s">
        <v>18</v>
      </c>
      <c r="AG17" t="s">
        <v>7</v>
      </c>
      <c r="AH17">
        <f t="shared" ref="AH17:BA17" si="17">F16/F18</f>
        <v>5.8823529411764705E-2</v>
      </c>
      <c r="AI17">
        <f t="shared" si="17"/>
        <v>0.125</v>
      </c>
      <c r="AJ17">
        <f t="shared" si="17"/>
        <v>7.6923076923076927E-2</v>
      </c>
      <c r="AK17">
        <f t="shared" si="17"/>
        <v>0</v>
      </c>
      <c r="AL17">
        <f t="shared" si="17"/>
        <v>0.1</v>
      </c>
      <c r="AM17">
        <f t="shared" si="17"/>
        <v>0.12195121951219512</v>
      </c>
      <c r="AN17">
        <f t="shared" si="17"/>
        <v>0.125</v>
      </c>
      <c r="AO17">
        <f t="shared" si="17"/>
        <v>3.8461538461538464E-2</v>
      </c>
      <c r="AP17">
        <f t="shared" si="17"/>
        <v>9.5238095238095233E-2</v>
      </c>
      <c r="AQ17">
        <f t="shared" si="17"/>
        <v>6.8181818181818177E-2</v>
      </c>
      <c r="AR17">
        <f t="shared" si="17"/>
        <v>5.5555555555555552E-2</v>
      </c>
      <c r="AS17">
        <f t="shared" si="17"/>
        <v>0.1111111111111111</v>
      </c>
      <c r="AT17">
        <f t="shared" si="17"/>
        <v>5.8823529411764705E-2</v>
      </c>
      <c r="AU17">
        <f t="shared" si="17"/>
        <v>8.1081081081081086E-2</v>
      </c>
      <c r="AV17">
        <f t="shared" si="17"/>
        <v>8.6956521739130432E-2</v>
      </c>
      <c r="AW17">
        <f t="shared" si="17"/>
        <v>0</v>
      </c>
      <c r="AX17">
        <f t="shared" si="17"/>
        <v>4.5454545454545456E-2</v>
      </c>
      <c r="AY17">
        <f t="shared" si="17"/>
        <v>3.8461538461538464E-2</v>
      </c>
      <c r="AZ17">
        <f t="shared" si="17"/>
        <v>7.3170731707317069E-2</v>
      </c>
      <c r="BA17">
        <f t="shared" si="17"/>
        <v>0</v>
      </c>
      <c r="BB17">
        <f t="shared" si="6"/>
        <v>6.8009694612526636E-2</v>
      </c>
      <c r="BC17">
        <f t="shared" si="7"/>
        <v>3.9814495858267594E-2</v>
      </c>
      <c r="BD17">
        <f t="shared" si="8"/>
        <v>1.5851940804480075E-3</v>
      </c>
      <c r="BE17">
        <f t="shared" si="9"/>
        <v>1.5851940804480075E-3</v>
      </c>
      <c r="BF17">
        <f t="shared" si="10"/>
        <v>0.58542382942760929</v>
      </c>
    </row>
    <row r="18" spans="3:58" x14ac:dyDescent="0.35">
      <c r="E18" t="s">
        <v>78</v>
      </c>
      <c r="F18">
        <v>17</v>
      </c>
      <c r="G18">
        <v>40</v>
      </c>
      <c r="H18">
        <v>39</v>
      </c>
      <c r="I18">
        <v>15</v>
      </c>
      <c r="J18">
        <v>20</v>
      </c>
      <c r="K18">
        <v>41</v>
      </c>
      <c r="L18">
        <v>8</v>
      </c>
      <c r="M18">
        <v>26</v>
      </c>
      <c r="N18">
        <v>42</v>
      </c>
      <c r="O18">
        <v>44</v>
      </c>
      <c r="P18">
        <v>36</v>
      </c>
      <c r="Q18">
        <v>27</v>
      </c>
      <c r="R18">
        <v>17</v>
      </c>
      <c r="S18">
        <v>37</v>
      </c>
      <c r="T18">
        <v>23</v>
      </c>
      <c r="U18">
        <v>18</v>
      </c>
      <c r="V18">
        <v>44</v>
      </c>
      <c r="W18">
        <v>26</v>
      </c>
      <c r="X18">
        <v>41</v>
      </c>
      <c r="Y18">
        <v>20</v>
      </c>
      <c r="Z18">
        <f t="shared" si="0"/>
        <v>29.05</v>
      </c>
      <c r="AA18">
        <f t="shared" si="1"/>
        <v>11.486720021054978</v>
      </c>
      <c r="AB18">
        <f t="shared" si="2"/>
        <v>131.9447368421053</v>
      </c>
      <c r="AC18">
        <f t="shared" si="3"/>
        <v>0.39541204891755516</v>
      </c>
      <c r="AF18" t="s">
        <v>18</v>
      </c>
      <c r="AG18" t="s">
        <v>15</v>
      </c>
      <c r="AH18">
        <f t="shared" ref="AH18:BA18" si="18">F17/F18</f>
        <v>0</v>
      </c>
      <c r="AI18">
        <f t="shared" si="18"/>
        <v>-2.5000000000000001E-2</v>
      </c>
      <c r="AJ18">
        <f t="shared" si="18"/>
        <v>0</v>
      </c>
      <c r="AK18">
        <f t="shared" si="18"/>
        <v>0</v>
      </c>
      <c r="AL18">
        <f t="shared" si="18"/>
        <v>-0.05</v>
      </c>
      <c r="AM18">
        <f t="shared" si="18"/>
        <v>-7.3170731707317069E-2</v>
      </c>
      <c r="AN18">
        <f t="shared" si="18"/>
        <v>0</v>
      </c>
      <c r="AO18">
        <f t="shared" si="18"/>
        <v>-3.8461538461538464E-2</v>
      </c>
      <c r="AP18">
        <f t="shared" si="18"/>
        <v>-9.5238095238095233E-2</v>
      </c>
      <c r="AQ18">
        <f t="shared" si="18"/>
        <v>-2.2727272727272728E-2</v>
      </c>
      <c r="AR18">
        <f t="shared" si="18"/>
        <v>-2.7777777777777776E-2</v>
      </c>
      <c r="AS18">
        <f t="shared" si="18"/>
        <v>0</v>
      </c>
      <c r="AT18">
        <f t="shared" si="18"/>
        <v>0</v>
      </c>
      <c r="AU18">
        <f t="shared" si="18"/>
        <v>-8.1081081081081086E-2</v>
      </c>
      <c r="AV18">
        <f t="shared" si="18"/>
        <v>0</v>
      </c>
      <c r="AW18">
        <f t="shared" si="18"/>
        <v>-5.5555555555555552E-2</v>
      </c>
      <c r="AX18">
        <f t="shared" si="18"/>
        <v>-2.2727272727272728E-2</v>
      </c>
      <c r="AY18">
        <f t="shared" si="18"/>
        <v>-0.15384615384615385</v>
      </c>
      <c r="AZ18">
        <f t="shared" si="18"/>
        <v>-2.4390243902439025E-2</v>
      </c>
      <c r="BA18">
        <f t="shared" si="18"/>
        <v>0</v>
      </c>
      <c r="BB18">
        <f t="shared" si="6"/>
        <v>-3.3498786151225174E-2</v>
      </c>
      <c r="BC18">
        <f t="shared" si="7"/>
        <v>4.1239936274538681E-2</v>
      </c>
      <c r="BD18">
        <f t="shared" si="8"/>
        <v>1.7007323439280112E-3</v>
      </c>
      <c r="BE18">
        <f t="shared" si="9"/>
        <v>1.7007323439280114E-3</v>
      </c>
      <c r="BF18">
        <f t="shared" si="10"/>
        <v>-1.2310874814498431</v>
      </c>
    </row>
    <row r="19" spans="3:58" x14ac:dyDescent="0.35">
      <c r="C19">
        <v>3</v>
      </c>
      <c r="D19" t="s">
        <v>18</v>
      </c>
      <c r="E19" t="s">
        <v>42</v>
      </c>
      <c r="F19">
        <v>2</v>
      </c>
      <c r="G19">
        <v>5</v>
      </c>
      <c r="H19">
        <v>3</v>
      </c>
      <c r="I19">
        <v>2</v>
      </c>
      <c r="J19">
        <v>2</v>
      </c>
      <c r="K19">
        <v>2</v>
      </c>
      <c r="L19">
        <v>1</v>
      </c>
      <c r="M19">
        <v>2</v>
      </c>
      <c r="N19">
        <v>3</v>
      </c>
      <c r="O19">
        <v>4</v>
      </c>
      <c r="P19">
        <v>3</v>
      </c>
      <c r="Q19">
        <v>4</v>
      </c>
      <c r="R19">
        <v>1</v>
      </c>
      <c r="S19">
        <v>2</v>
      </c>
      <c r="T19">
        <v>3</v>
      </c>
      <c r="U19">
        <v>3</v>
      </c>
      <c r="V19">
        <v>4</v>
      </c>
      <c r="W19">
        <v>3</v>
      </c>
      <c r="X19">
        <v>5</v>
      </c>
      <c r="Y19">
        <v>4</v>
      </c>
      <c r="Z19">
        <f t="shared" si="0"/>
        <v>2.9</v>
      </c>
      <c r="AA19">
        <f t="shared" si="1"/>
        <v>1.1652874052533588</v>
      </c>
      <c r="AB19">
        <f t="shared" si="2"/>
        <v>1.3578947368421059</v>
      </c>
      <c r="AC19">
        <f t="shared" si="3"/>
        <v>0.40182324319081342</v>
      </c>
      <c r="AG19" t="s">
        <v>78</v>
      </c>
    </row>
    <row r="20" spans="3:58" x14ac:dyDescent="0.35">
      <c r="D20" t="s">
        <v>18</v>
      </c>
      <c r="E20" s="1" t="s">
        <v>43</v>
      </c>
      <c r="F20">
        <v>0</v>
      </c>
      <c r="G20">
        <v>0</v>
      </c>
      <c r="H20">
        <v>0</v>
      </c>
      <c r="I20">
        <v>0</v>
      </c>
      <c r="J20">
        <v>0</v>
      </c>
      <c r="K20">
        <v>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</v>
      </c>
      <c r="S20">
        <v>0</v>
      </c>
      <c r="T20">
        <v>0</v>
      </c>
      <c r="U20">
        <v>1</v>
      </c>
      <c r="V20">
        <v>1</v>
      </c>
      <c r="W20">
        <v>1</v>
      </c>
      <c r="X20">
        <v>0</v>
      </c>
      <c r="Y20">
        <v>1</v>
      </c>
      <c r="Z20">
        <f t="shared" si="0"/>
        <v>0.4</v>
      </c>
      <c r="AA20">
        <f t="shared" si="1"/>
        <v>0.68055704737872058</v>
      </c>
      <c r="AB20">
        <f t="shared" si="2"/>
        <v>0.46315789473684216</v>
      </c>
      <c r="AC20">
        <f t="shared" si="3"/>
        <v>1.7013926184468013</v>
      </c>
      <c r="AF20" t="s">
        <v>18</v>
      </c>
      <c r="AG20" t="s">
        <v>42</v>
      </c>
    </row>
    <row r="21" spans="3:58" x14ac:dyDescent="0.35">
      <c r="C21">
        <v>0</v>
      </c>
      <c r="E21" t="s">
        <v>72</v>
      </c>
      <c r="AF21" t="s">
        <v>18</v>
      </c>
      <c r="AG21" s="1" t="s">
        <v>43</v>
      </c>
    </row>
    <row r="22" spans="3:58" x14ac:dyDescent="0.35">
      <c r="C22">
        <v>2</v>
      </c>
      <c r="D22" t="s">
        <v>18</v>
      </c>
      <c r="E22" t="s">
        <v>20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f t="shared" si="0"/>
        <v>1</v>
      </c>
      <c r="AA22">
        <f t="shared" si="1"/>
        <v>0</v>
      </c>
      <c r="AB22">
        <f t="shared" si="2"/>
        <v>0</v>
      </c>
      <c r="AC22">
        <f t="shared" si="3"/>
        <v>0</v>
      </c>
      <c r="AG22" t="s">
        <v>72</v>
      </c>
    </row>
    <row r="23" spans="3:58" x14ac:dyDescent="0.35">
      <c r="C23">
        <v>2</v>
      </c>
      <c r="D23" t="s">
        <v>18</v>
      </c>
      <c r="E23" t="s">
        <v>21</v>
      </c>
      <c r="F23">
        <v>1</v>
      </c>
      <c r="G23">
        <v>2</v>
      </c>
      <c r="H23">
        <v>2</v>
      </c>
      <c r="I23">
        <v>1</v>
      </c>
      <c r="J23">
        <v>1</v>
      </c>
      <c r="K23">
        <v>1</v>
      </c>
      <c r="L23">
        <v>1</v>
      </c>
      <c r="M23">
        <v>2</v>
      </c>
      <c r="N23">
        <v>2</v>
      </c>
      <c r="O23">
        <v>3</v>
      </c>
      <c r="P23">
        <v>2</v>
      </c>
      <c r="Q23">
        <v>1</v>
      </c>
      <c r="R23">
        <v>1</v>
      </c>
      <c r="S23">
        <v>1</v>
      </c>
      <c r="T23">
        <v>1</v>
      </c>
      <c r="U23">
        <v>1</v>
      </c>
      <c r="V23">
        <v>3</v>
      </c>
      <c r="W23">
        <v>1</v>
      </c>
      <c r="X23">
        <v>2</v>
      </c>
      <c r="Y23">
        <v>1</v>
      </c>
      <c r="Z23">
        <f t="shared" si="0"/>
        <v>1.5</v>
      </c>
      <c r="AA23">
        <f t="shared" si="1"/>
        <v>0.68824720161168529</v>
      </c>
      <c r="AB23">
        <f t="shared" si="2"/>
        <v>0.47368421052631576</v>
      </c>
      <c r="AC23">
        <f t="shared" si="3"/>
        <v>0.45883146774112354</v>
      </c>
      <c r="AF23" t="s">
        <v>18</v>
      </c>
      <c r="AG23" t="s">
        <v>20</v>
      </c>
    </row>
    <row r="24" spans="3:58" x14ac:dyDescent="0.35">
      <c r="D24" t="s">
        <v>18</v>
      </c>
      <c r="E24" t="s">
        <v>72</v>
      </c>
      <c r="AF24" t="s">
        <v>18</v>
      </c>
      <c r="AG24" t="s">
        <v>21</v>
      </c>
    </row>
    <row r="25" spans="3:58" x14ac:dyDescent="0.35">
      <c r="C25">
        <v>7</v>
      </c>
      <c r="D25" t="s">
        <v>19</v>
      </c>
      <c r="E25" t="s">
        <v>0</v>
      </c>
      <c r="F25">
        <v>4</v>
      </c>
      <c r="G25">
        <v>4</v>
      </c>
      <c r="H25">
        <v>4</v>
      </c>
      <c r="I25">
        <v>5</v>
      </c>
      <c r="J25">
        <v>3</v>
      </c>
      <c r="K25">
        <v>6</v>
      </c>
      <c r="L25">
        <v>2</v>
      </c>
      <c r="M25">
        <v>8</v>
      </c>
      <c r="N25">
        <v>3</v>
      </c>
      <c r="O25">
        <v>7</v>
      </c>
      <c r="P25">
        <v>3</v>
      </c>
      <c r="Q25">
        <v>4</v>
      </c>
      <c r="R25">
        <v>5</v>
      </c>
      <c r="S25">
        <v>4</v>
      </c>
      <c r="T25">
        <v>5</v>
      </c>
      <c r="U25">
        <v>4</v>
      </c>
      <c r="V25">
        <v>6</v>
      </c>
      <c r="W25">
        <v>6</v>
      </c>
      <c r="X25">
        <v>5</v>
      </c>
      <c r="Y25">
        <v>6</v>
      </c>
      <c r="Z25">
        <f t="shared" si="0"/>
        <v>4.7</v>
      </c>
      <c r="AA25">
        <f t="shared" si="1"/>
        <v>1.4903196407411889</v>
      </c>
      <c r="AB25">
        <f t="shared" si="2"/>
        <v>2.2210526315789467</v>
      </c>
      <c r="AC25">
        <f t="shared" si="3"/>
        <v>0.31708928526408275</v>
      </c>
      <c r="AF25" t="s">
        <v>18</v>
      </c>
      <c r="AG25" t="s">
        <v>72</v>
      </c>
    </row>
    <row r="26" spans="3:58" x14ac:dyDescent="0.35">
      <c r="D26" t="s">
        <v>19</v>
      </c>
      <c r="E26" t="s">
        <v>15</v>
      </c>
      <c r="F26">
        <v>0</v>
      </c>
      <c r="G26">
        <v>0</v>
      </c>
      <c r="H26">
        <v>0</v>
      </c>
      <c r="I26">
        <v>-1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f t="shared" si="0"/>
        <v>-0.05</v>
      </c>
      <c r="AA26">
        <f t="shared" si="1"/>
        <v>0.22360679774997896</v>
      </c>
      <c r="AB26">
        <f t="shared" si="2"/>
        <v>4.9999999999999996E-2</v>
      </c>
      <c r="AC26">
        <f t="shared" si="3"/>
        <v>-4.4721359549995787</v>
      </c>
      <c r="AF26" t="s">
        <v>19</v>
      </c>
      <c r="AG26" t="s">
        <v>0</v>
      </c>
      <c r="AH26">
        <f t="shared" ref="AH26:BA26" si="19">F25/F35</f>
        <v>0.2857142857142857</v>
      </c>
      <c r="AI26">
        <f t="shared" si="19"/>
        <v>0.2857142857142857</v>
      </c>
      <c r="AJ26">
        <f t="shared" si="19"/>
        <v>9.3023255813953487E-2</v>
      </c>
      <c r="AK26">
        <f t="shared" si="19"/>
        <v>0.11363636363636363</v>
      </c>
      <c r="AL26">
        <f t="shared" si="19"/>
        <v>0.13636363636363635</v>
      </c>
      <c r="AM26">
        <f t="shared" si="19"/>
        <v>0.125</v>
      </c>
      <c r="AN26">
        <f t="shared" si="19"/>
        <v>0.2</v>
      </c>
      <c r="AO26">
        <f t="shared" si="19"/>
        <v>0.15384615384615385</v>
      </c>
      <c r="AP26">
        <f t="shared" si="19"/>
        <v>0.2</v>
      </c>
      <c r="AQ26">
        <f t="shared" si="19"/>
        <v>0.21212121212121213</v>
      </c>
      <c r="AR26">
        <f t="shared" si="19"/>
        <v>0.15</v>
      </c>
      <c r="AS26">
        <f t="shared" si="19"/>
        <v>0.125</v>
      </c>
      <c r="AT26">
        <f t="shared" si="19"/>
        <v>0.25</v>
      </c>
      <c r="AU26">
        <f t="shared" si="19"/>
        <v>0.12121212121212122</v>
      </c>
      <c r="AV26">
        <f t="shared" si="19"/>
        <v>0.19230769230769232</v>
      </c>
      <c r="AW26">
        <f t="shared" si="19"/>
        <v>0.30769230769230771</v>
      </c>
      <c r="AX26">
        <f t="shared" si="19"/>
        <v>0.15789473684210525</v>
      </c>
      <c r="AY26">
        <f t="shared" si="19"/>
        <v>0.16216216216216217</v>
      </c>
      <c r="AZ26">
        <f t="shared" si="19"/>
        <v>0.12195121951219512</v>
      </c>
      <c r="BA26">
        <f t="shared" si="19"/>
        <v>0.15789473684210525</v>
      </c>
      <c r="BB26">
        <f>AVERAGE(AH26:BA26)</f>
        <v>0.17757670848902901</v>
      </c>
      <c r="BC26">
        <f t="shared" ref="BC26:BC35" si="20">_xlfn.STDEV.S(AH26:BA26)</f>
        <v>6.2849252443540671E-2</v>
      </c>
    </row>
    <row r="27" spans="3:58" x14ac:dyDescent="0.35">
      <c r="C27">
        <v>4</v>
      </c>
      <c r="D27" t="s">
        <v>19</v>
      </c>
      <c r="E27" t="s">
        <v>4</v>
      </c>
      <c r="F27">
        <v>0</v>
      </c>
      <c r="G27">
        <v>0</v>
      </c>
      <c r="H27">
        <v>8</v>
      </c>
      <c r="I27">
        <v>8</v>
      </c>
      <c r="J27">
        <v>2</v>
      </c>
      <c r="K27">
        <v>8</v>
      </c>
      <c r="L27">
        <v>0</v>
      </c>
      <c r="M27">
        <v>7</v>
      </c>
      <c r="N27">
        <v>2</v>
      </c>
      <c r="O27">
        <v>4</v>
      </c>
      <c r="P27">
        <v>4</v>
      </c>
      <c r="Q27">
        <v>6</v>
      </c>
      <c r="R27">
        <v>0</v>
      </c>
      <c r="S27">
        <v>6</v>
      </c>
      <c r="T27">
        <v>2</v>
      </c>
      <c r="U27">
        <v>0</v>
      </c>
      <c r="V27">
        <v>5</v>
      </c>
      <c r="W27">
        <v>6</v>
      </c>
      <c r="X27">
        <v>6</v>
      </c>
      <c r="Y27">
        <v>5</v>
      </c>
      <c r="Z27">
        <f t="shared" si="0"/>
        <v>3.95</v>
      </c>
      <c r="AA27">
        <f t="shared" si="1"/>
        <v>2.9642608025042527</v>
      </c>
      <c r="AB27">
        <f t="shared" si="2"/>
        <v>8.7868421052631565</v>
      </c>
      <c r="AC27">
        <f t="shared" si="3"/>
        <v>0.75044577278588676</v>
      </c>
      <c r="AF27" t="s">
        <v>19</v>
      </c>
      <c r="AG27" t="s">
        <v>15</v>
      </c>
      <c r="AH27">
        <f t="shared" ref="AH27:BA27" si="21">F26/F35</f>
        <v>0</v>
      </c>
      <c r="AI27">
        <f t="shared" si="21"/>
        <v>0</v>
      </c>
      <c r="AJ27">
        <f t="shared" si="21"/>
        <v>0</v>
      </c>
      <c r="AK27">
        <f t="shared" si="21"/>
        <v>-2.2727272727272728E-2</v>
      </c>
      <c r="AL27">
        <f t="shared" si="21"/>
        <v>0</v>
      </c>
      <c r="AM27">
        <f t="shared" si="21"/>
        <v>0</v>
      </c>
      <c r="AN27">
        <f t="shared" si="21"/>
        <v>0</v>
      </c>
      <c r="AO27">
        <f t="shared" si="21"/>
        <v>0</v>
      </c>
      <c r="AP27">
        <f t="shared" si="21"/>
        <v>0</v>
      </c>
      <c r="AQ27">
        <f t="shared" si="21"/>
        <v>0</v>
      </c>
      <c r="AR27">
        <f t="shared" si="21"/>
        <v>0</v>
      </c>
      <c r="AS27">
        <f t="shared" si="21"/>
        <v>0</v>
      </c>
      <c r="AT27">
        <f t="shared" si="21"/>
        <v>0</v>
      </c>
      <c r="AU27">
        <f t="shared" si="21"/>
        <v>0</v>
      </c>
      <c r="AV27">
        <f t="shared" si="21"/>
        <v>0</v>
      </c>
      <c r="AW27">
        <f t="shared" si="21"/>
        <v>0</v>
      </c>
      <c r="AX27">
        <f t="shared" si="21"/>
        <v>0</v>
      </c>
      <c r="AY27">
        <f t="shared" si="21"/>
        <v>0</v>
      </c>
      <c r="AZ27">
        <f t="shared" si="21"/>
        <v>0</v>
      </c>
      <c r="BA27">
        <f t="shared" si="21"/>
        <v>0</v>
      </c>
      <c r="BB27">
        <f t="shared" ref="BB27:BB35" si="22">AVERAGE(AH27:BA27)</f>
        <v>-1.1363636363636363E-3</v>
      </c>
      <c r="BC27">
        <f t="shared" si="20"/>
        <v>5.0819726761358857E-3</v>
      </c>
    </row>
    <row r="28" spans="3:58" x14ac:dyDescent="0.35">
      <c r="D28" t="s">
        <v>19</v>
      </c>
      <c r="E28" t="s">
        <v>15</v>
      </c>
      <c r="F28">
        <v>0</v>
      </c>
      <c r="G28">
        <v>0</v>
      </c>
      <c r="H28">
        <v>0</v>
      </c>
      <c r="I28">
        <v>0</v>
      </c>
      <c r="J28">
        <v>-2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-1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f t="shared" si="0"/>
        <v>-0.15</v>
      </c>
      <c r="AA28">
        <f t="shared" si="1"/>
        <v>0.48936048492959289</v>
      </c>
      <c r="AB28">
        <f t="shared" si="2"/>
        <v>0.23947368421052631</v>
      </c>
      <c r="AC28">
        <f t="shared" si="3"/>
        <v>-3.2624032328639525</v>
      </c>
      <c r="AF28" t="s">
        <v>19</v>
      </c>
      <c r="AG28" t="s">
        <v>4</v>
      </c>
      <c r="AH28">
        <f t="shared" ref="AH28:BA28" si="23">F27/F35</f>
        <v>0</v>
      </c>
      <c r="AI28">
        <f t="shared" si="23"/>
        <v>0</v>
      </c>
      <c r="AJ28">
        <f t="shared" si="23"/>
        <v>0.18604651162790697</v>
      </c>
      <c r="AK28">
        <f t="shared" si="23"/>
        <v>0.18181818181818182</v>
      </c>
      <c r="AL28">
        <f t="shared" si="23"/>
        <v>9.0909090909090912E-2</v>
      </c>
      <c r="AM28">
        <f t="shared" si="23"/>
        <v>0.16666666666666666</v>
      </c>
      <c r="AN28">
        <f t="shared" si="23"/>
        <v>0</v>
      </c>
      <c r="AO28">
        <f t="shared" si="23"/>
        <v>0.13461538461538461</v>
      </c>
      <c r="AP28">
        <f t="shared" si="23"/>
        <v>0.13333333333333333</v>
      </c>
      <c r="AQ28">
        <f t="shared" si="23"/>
        <v>0.12121212121212122</v>
      </c>
      <c r="AR28">
        <f t="shared" si="23"/>
        <v>0.2</v>
      </c>
      <c r="AS28">
        <f t="shared" si="23"/>
        <v>0.1875</v>
      </c>
      <c r="AT28">
        <f t="shared" si="23"/>
        <v>0</v>
      </c>
      <c r="AU28">
        <f t="shared" si="23"/>
        <v>0.18181818181818182</v>
      </c>
      <c r="AV28">
        <f t="shared" si="23"/>
        <v>7.6923076923076927E-2</v>
      </c>
      <c r="AW28">
        <f t="shared" si="23"/>
        <v>0</v>
      </c>
      <c r="AX28">
        <f t="shared" si="23"/>
        <v>0.13157894736842105</v>
      </c>
      <c r="AY28">
        <f t="shared" si="23"/>
        <v>0.16216216216216217</v>
      </c>
      <c r="AZ28">
        <f t="shared" si="23"/>
        <v>0.14634146341463414</v>
      </c>
      <c r="BA28">
        <f t="shared" si="23"/>
        <v>0.13157894736842105</v>
      </c>
      <c r="BB28">
        <f t="shared" si="22"/>
        <v>0.11162520346187914</v>
      </c>
      <c r="BC28">
        <f t="shared" si="20"/>
        <v>7.3115202456706135E-2</v>
      </c>
    </row>
    <row r="29" spans="3:58" x14ac:dyDescent="0.35">
      <c r="C29">
        <v>3</v>
      </c>
      <c r="D29" t="s">
        <v>19</v>
      </c>
      <c r="E29" t="s">
        <v>5</v>
      </c>
      <c r="F29">
        <v>2</v>
      </c>
      <c r="G29">
        <v>2</v>
      </c>
      <c r="H29">
        <v>7</v>
      </c>
      <c r="I29">
        <v>6</v>
      </c>
      <c r="J29">
        <v>2</v>
      </c>
      <c r="K29">
        <v>4</v>
      </c>
      <c r="L29">
        <v>2</v>
      </c>
      <c r="M29">
        <v>2</v>
      </c>
      <c r="N29">
        <v>2</v>
      </c>
      <c r="O29">
        <v>4</v>
      </c>
      <c r="P29">
        <v>1</v>
      </c>
      <c r="Q29">
        <v>2</v>
      </c>
      <c r="R29">
        <v>2</v>
      </c>
      <c r="S29">
        <v>3</v>
      </c>
      <c r="T29">
        <v>3</v>
      </c>
      <c r="U29">
        <v>2</v>
      </c>
      <c r="V29">
        <v>3</v>
      </c>
      <c r="W29">
        <v>6</v>
      </c>
      <c r="X29">
        <v>5</v>
      </c>
      <c r="Y29">
        <v>4</v>
      </c>
      <c r="Z29">
        <f t="shared" si="0"/>
        <v>3.2</v>
      </c>
      <c r="AA29">
        <f t="shared" si="1"/>
        <v>1.6733200530681509</v>
      </c>
      <c r="AB29">
        <f t="shared" si="2"/>
        <v>2.7999999999999994</v>
      </c>
      <c r="AC29">
        <f t="shared" si="3"/>
        <v>0.52291251658379712</v>
      </c>
      <c r="AF29" t="s">
        <v>19</v>
      </c>
      <c r="AG29" t="s">
        <v>15</v>
      </c>
      <c r="AH29">
        <f t="shared" ref="AH29:BA29" si="24">F28/F35</f>
        <v>0</v>
      </c>
      <c r="AI29">
        <f t="shared" si="24"/>
        <v>0</v>
      </c>
      <c r="AJ29">
        <f t="shared" si="24"/>
        <v>0</v>
      </c>
      <c r="AK29">
        <f t="shared" si="24"/>
        <v>0</v>
      </c>
      <c r="AL29">
        <f t="shared" si="24"/>
        <v>-9.0909090909090912E-2</v>
      </c>
      <c r="AM29">
        <f t="shared" si="24"/>
        <v>0</v>
      </c>
      <c r="AN29">
        <f t="shared" si="24"/>
        <v>0</v>
      </c>
      <c r="AO29">
        <f t="shared" si="24"/>
        <v>0</v>
      </c>
      <c r="AP29">
        <f t="shared" si="24"/>
        <v>0</v>
      </c>
      <c r="AQ29">
        <f t="shared" si="24"/>
        <v>0</v>
      </c>
      <c r="AR29">
        <f t="shared" si="24"/>
        <v>0</v>
      </c>
      <c r="AS29">
        <f t="shared" si="24"/>
        <v>0</v>
      </c>
      <c r="AT29">
        <f t="shared" si="24"/>
        <v>-0.05</v>
      </c>
      <c r="AU29">
        <f t="shared" si="24"/>
        <v>0</v>
      </c>
      <c r="AV29">
        <f t="shared" si="24"/>
        <v>0</v>
      </c>
      <c r="AW29">
        <f t="shared" si="24"/>
        <v>0</v>
      </c>
      <c r="AX29">
        <f t="shared" si="24"/>
        <v>0</v>
      </c>
      <c r="AY29">
        <f t="shared" si="24"/>
        <v>0</v>
      </c>
      <c r="AZ29">
        <f t="shared" si="24"/>
        <v>0</v>
      </c>
      <c r="BA29">
        <f t="shared" si="24"/>
        <v>0</v>
      </c>
      <c r="BB29">
        <f t="shared" si="22"/>
        <v>-7.0454545454545466E-3</v>
      </c>
      <c r="BC29">
        <f t="shared" si="20"/>
        <v>2.2678176635695192E-2</v>
      </c>
    </row>
    <row r="30" spans="3:58" x14ac:dyDescent="0.35">
      <c r="D30" t="s">
        <v>19</v>
      </c>
      <c r="E30" t="s">
        <v>15</v>
      </c>
      <c r="F30">
        <v>0</v>
      </c>
      <c r="G30">
        <v>0</v>
      </c>
      <c r="H30">
        <v>0</v>
      </c>
      <c r="I30">
        <v>0</v>
      </c>
      <c r="J30">
        <v>-1</v>
      </c>
      <c r="K30">
        <v>-2</v>
      </c>
      <c r="L30">
        <v>0</v>
      </c>
      <c r="M30">
        <v>-3</v>
      </c>
      <c r="N30">
        <v>0</v>
      </c>
      <c r="O30">
        <v>0</v>
      </c>
      <c r="P30">
        <v>-1</v>
      </c>
      <c r="Q30">
        <v>-2</v>
      </c>
      <c r="R30">
        <v>0</v>
      </c>
      <c r="S30">
        <v>0</v>
      </c>
      <c r="T30">
        <v>0</v>
      </c>
      <c r="U30">
        <v>0</v>
      </c>
      <c r="V30">
        <v>-1</v>
      </c>
      <c r="W30">
        <v>0</v>
      </c>
      <c r="X30">
        <v>0</v>
      </c>
      <c r="Y30">
        <v>-1</v>
      </c>
      <c r="Z30">
        <f t="shared" si="0"/>
        <v>-0.55000000000000004</v>
      </c>
      <c r="AA30">
        <f t="shared" si="1"/>
        <v>0.88704120832301692</v>
      </c>
      <c r="AB30">
        <f t="shared" si="2"/>
        <v>0.7868421052631579</v>
      </c>
      <c r="AC30">
        <f t="shared" si="3"/>
        <v>-1.6128021969509396</v>
      </c>
      <c r="AF30" t="s">
        <v>19</v>
      </c>
      <c r="AG30" t="s">
        <v>5</v>
      </c>
      <c r="AH30">
        <f t="shared" ref="AH30:BA30" si="25">F29/F35</f>
        <v>0.14285714285714285</v>
      </c>
      <c r="AI30">
        <f t="shared" si="25"/>
        <v>0.14285714285714285</v>
      </c>
      <c r="AJ30">
        <f t="shared" si="25"/>
        <v>0.16279069767441862</v>
      </c>
      <c r="AK30">
        <f t="shared" si="25"/>
        <v>0.13636363636363635</v>
      </c>
      <c r="AL30">
        <f t="shared" si="25"/>
        <v>9.0909090909090912E-2</v>
      </c>
      <c r="AM30">
        <f t="shared" si="25"/>
        <v>8.3333333333333329E-2</v>
      </c>
      <c r="AN30">
        <f t="shared" si="25"/>
        <v>0.2</v>
      </c>
      <c r="AO30">
        <f t="shared" si="25"/>
        <v>3.8461538461538464E-2</v>
      </c>
      <c r="AP30">
        <f t="shared" si="25"/>
        <v>0.13333333333333333</v>
      </c>
      <c r="AQ30">
        <f t="shared" si="25"/>
        <v>0.12121212121212122</v>
      </c>
      <c r="AR30">
        <f t="shared" si="25"/>
        <v>0.05</v>
      </c>
      <c r="AS30">
        <f t="shared" si="25"/>
        <v>6.25E-2</v>
      </c>
      <c r="AT30">
        <f t="shared" si="25"/>
        <v>0.1</v>
      </c>
      <c r="AU30">
        <f t="shared" si="25"/>
        <v>9.0909090909090912E-2</v>
      </c>
      <c r="AV30">
        <f t="shared" si="25"/>
        <v>0.11538461538461539</v>
      </c>
      <c r="AW30">
        <f t="shared" si="25"/>
        <v>0.15384615384615385</v>
      </c>
      <c r="AX30">
        <f t="shared" si="25"/>
        <v>7.8947368421052627E-2</v>
      </c>
      <c r="AY30">
        <f t="shared" si="25"/>
        <v>0.16216216216216217</v>
      </c>
      <c r="AZ30">
        <f t="shared" si="25"/>
        <v>0.12195121951219512</v>
      </c>
      <c r="BA30">
        <f t="shared" si="25"/>
        <v>0.10526315789473684</v>
      </c>
      <c r="BB30">
        <f t="shared" si="22"/>
        <v>0.11465409025658826</v>
      </c>
      <c r="BC30">
        <f t="shared" si="20"/>
        <v>4.1227208473269827E-2</v>
      </c>
    </row>
    <row r="31" spans="3:58" x14ac:dyDescent="0.35">
      <c r="C31">
        <v>0</v>
      </c>
      <c r="D31" t="s">
        <v>19</v>
      </c>
      <c r="E31" t="s">
        <v>6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2</v>
      </c>
      <c r="N31">
        <v>2</v>
      </c>
      <c r="O31">
        <v>0</v>
      </c>
      <c r="P31">
        <v>0</v>
      </c>
      <c r="Q31">
        <v>1</v>
      </c>
      <c r="R31">
        <v>1</v>
      </c>
      <c r="S31">
        <v>1</v>
      </c>
      <c r="T31">
        <v>1</v>
      </c>
      <c r="U31">
        <v>0</v>
      </c>
      <c r="V31">
        <v>1</v>
      </c>
      <c r="W31">
        <v>2</v>
      </c>
      <c r="X31">
        <v>2</v>
      </c>
      <c r="Y31">
        <v>2</v>
      </c>
      <c r="Z31">
        <f t="shared" si="0"/>
        <v>0.8</v>
      </c>
      <c r="AA31">
        <f t="shared" si="1"/>
        <v>0.83350875346649067</v>
      </c>
      <c r="AB31">
        <f t="shared" si="2"/>
        <v>0.6947368421052631</v>
      </c>
      <c r="AC31">
        <f t="shared" si="3"/>
        <v>1.0418859418331132</v>
      </c>
      <c r="AF31" t="s">
        <v>19</v>
      </c>
      <c r="AG31" t="s">
        <v>15</v>
      </c>
      <c r="AH31">
        <f t="shared" ref="AH31:BA31" si="26">F30/F35</f>
        <v>0</v>
      </c>
      <c r="AI31">
        <f t="shared" si="26"/>
        <v>0</v>
      </c>
      <c r="AJ31">
        <f t="shared" si="26"/>
        <v>0</v>
      </c>
      <c r="AK31">
        <f t="shared" si="26"/>
        <v>0</v>
      </c>
      <c r="AL31">
        <f t="shared" si="26"/>
        <v>-4.5454545454545456E-2</v>
      </c>
      <c r="AM31">
        <f t="shared" si="26"/>
        <v>-4.1666666666666664E-2</v>
      </c>
      <c r="AN31">
        <f t="shared" si="26"/>
        <v>0</v>
      </c>
      <c r="AO31">
        <f t="shared" si="26"/>
        <v>-5.7692307692307696E-2</v>
      </c>
      <c r="AP31">
        <f t="shared" si="26"/>
        <v>0</v>
      </c>
      <c r="AQ31">
        <f t="shared" si="26"/>
        <v>0</v>
      </c>
      <c r="AR31">
        <f t="shared" si="26"/>
        <v>-0.05</v>
      </c>
      <c r="AS31">
        <f t="shared" si="26"/>
        <v>-6.25E-2</v>
      </c>
      <c r="AT31">
        <f t="shared" si="26"/>
        <v>0</v>
      </c>
      <c r="AU31">
        <f t="shared" si="26"/>
        <v>0</v>
      </c>
      <c r="AV31">
        <f t="shared" si="26"/>
        <v>0</v>
      </c>
      <c r="AW31">
        <f t="shared" si="26"/>
        <v>0</v>
      </c>
      <c r="AX31">
        <f t="shared" si="26"/>
        <v>-2.6315789473684209E-2</v>
      </c>
      <c r="AY31">
        <f t="shared" si="26"/>
        <v>0</v>
      </c>
      <c r="AZ31">
        <f t="shared" si="26"/>
        <v>0</v>
      </c>
      <c r="BA31">
        <f t="shared" si="26"/>
        <v>-2.6315789473684209E-2</v>
      </c>
      <c r="BB31">
        <f t="shared" si="22"/>
        <v>-1.5497254938044408E-2</v>
      </c>
      <c r="BC31">
        <f t="shared" si="20"/>
        <v>2.3077241602252638E-2</v>
      </c>
    </row>
    <row r="32" spans="3:58" x14ac:dyDescent="0.35">
      <c r="D32" t="s">
        <v>19</v>
      </c>
      <c r="E32" t="s">
        <v>15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f t="shared" si="0"/>
        <v>0</v>
      </c>
      <c r="AA32">
        <f t="shared" si="1"/>
        <v>0</v>
      </c>
      <c r="AB32">
        <f t="shared" si="2"/>
        <v>0</v>
      </c>
      <c r="AF32" t="s">
        <v>19</v>
      </c>
      <c r="AG32" t="s">
        <v>6</v>
      </c>
      <c r="AH32">
        <f t="shared" ref="AH32:BA32" si="27">F31/F35</f>
        <v>0</v>
      </c>
      <c r="AI32">
        <f t="shared" si="27"/>
        <v>0</v>
      </c>
      <c r="AJ32">
        <f t="shared" si="27"/>
        <v>2.3255813953488372E-2</v>
      </c>
      <c r="AK32">
        <f t="shared" si="27"/>
        <v>0</v>
      </c>
      <c r="AL32">
        <f t="shared" si="27"/>
        <v>0</v>
      </c>
      <c r="AM32">
        <f t="shared" si="27"/>
        <v>0</v>
      </c>
      <c r="AN32">
        <f t="shared" si="27"/>
        <v>0</v>
      </c>
      <c r="AO32">
        <f t="shared" si="27"/>
        <v>3.8461538461538464E-2</v>
      </c>
      <c r="AP32">
        <f t="shared" si="27"/>
        <v>0.13333333333333333</v>
      </c>
      <c r="AQ32">
        <f t="shared" si="27"/>
        <v>0</v>
      </c>
      <c r="AR32">
        <f t="shared" si="27"/>
        <v>0</v>
      </c>
      <c r="AS32">
        <f t="shared" si="27"/>
        <v>3.125E-2</v>
      </c>
      <c r="AT32">
        <f t="shared" si="27"/>
        <v>0.05</v>
      </c>
      <c r="AU32">
        <f t="shared" si="27"/>
        <v>3.0303030303030304E-2</v>
      </c>
      <c r="AV32">
        <f t="shared" si="27"/>
        <v>3.8461538461538464E-2</v>
      </c>
      <c r="AW32">
        <f t="shared" si="27"/>
        <v>0</v>
      </c>
      <c r="AX32">
        <f t="shared" si="27"/>
        <v>2.6315789473684209E-2</v>
      </c>
      <c r="AY32">
        <f t="shared" si="27"/>
        <v>5.4054054054054057E-2</v>
      </c>
      <c r="AZ32">
        <f t="shared" si="27"/>
        <v>4.878048780487805E-2</v>
      </c>
      <c r="BA32">
        <f t="shared" si="27"/>
        <v>5.2631578947368418E-2</v>
      </c>
      <c r="BB32">
        <f t="shared" si="22"/>
        <v>2.6342358239645682E-2</v>
      </c>
      <c r="BC32">
        <f t="shared" si="20"/>
        <v>3.2893456846853499E-2</v>
      </c>
    </row>
    <row r="33" spans="3:58" x14ac:dyDescent="0.35">
      <c r="C33">
        <v>2</v>
      </c>
      <c r="D33" t="s">
        <v>19</v>
      </c>
      <c r="E33" t="s">
        <v>7</v>
      </c>
      <c r="F33">
        <v>1</v>
      </c>
      <c r="G33">
        <v>0</v>
      </c>
      <c r="H33">
        <v>4</v>
      </c>
      <c r="I33">
        <v>6</v>
      </c>
      <c r="J33">
        <v>2</v>
      </c>
      <c r="K33">
        <v>5</v>
      </c>
      <c r="L33">
        <v>1</v>
      </c>
      <c r="M33">
        <v>4</v>
      </c>
      <c r="N33">
        <v>0</v>
      </c>
      <c r="O33">
        <v>3</v>
      </c>
      <c r="P33">
        <v>2</v>
      </c>
      <c r="Q33">
        <v>4</v>
      </c>
      <c r="R33">
        <v>1</v>
      </c>
      <c r="S33">
        <v>2</v>
      </c>
      <c r="T33">
        <v>2</v>
      </c>
      <c r="U33">
        <v>2</v>
      </c>
      <c r="V33">
        <v>5</v>
      </c>
      <c r="W33">
        <v>3</v>
      </c>
      <c r="X33">
        <v>3</v>
      </c>
      <c r="Y33">
        <v>1</v>
      </c>
      <c r="Z33">
        <f t="shared" si="0"/>
        <v>2.5499999999999998</v>
      </c>
      <c r="AA33">
        <f t="shared" si="1"/>
        <v>1.7006190823220508</v>
      </c>
      <c r="AB33">
        <f t="shared" si="2"/>
        <v>2.8921052631578941</v>
      </c>
      <c r="AC33">
        <f t="shared" si="3"/>
        <v>0.66690944404786312</v>
      </c>
      <c r="AF33" t="s">
        <v>19</v>
      </c>
      <c r="AG33" t="s">
        <v>15</v>
      </c>
      <c r="AH33">
        <f t="shared" ref="AH33:BA33" si="28">F32/F35</f>
        <v>0</v>
      </c>
      <c r="AI33">
        <f t="shared" si="28"/>
        <v>0</v>
      </c>
      <c r="AJ33">
        <f t="shared" si="28"/>
        <v>0</v>
      </c>
      <c r="AK33">
        <f t="shared" si="28"/>
        <v>0</v>
      </c>
      <c r="AL33">
        <f t="shared" si="28"/>
        <v>0</v>
      </c>
      <c r="AM33">
        <f t="shared" si="28"/>
        <v>0</v>
      </c>
      <c r="AN33">
        <f t="shared" si="28"/>
        <v>0</v>
      </c>
      <c r="AO33">
        <f t="shared" si="28"/>
        <v>0</v>
      </c>
      <c r="AP33">
        <f t="shared" si="28"/>
        <v>0</v>
      </c>
      <c r="AQ33">
        <f t="shared" si="28"/>
        <v>0</v>
      </c>
      <c r="AR33">
        <f t="shared" si="28"/>
        <v>0</v>
      </c>
      <c r="AS33">
        <f t="shared" si="28"/>
        <v>0</v>
      </c>
      <c r="AT33">
        <f t="shared" si="28"/>
        <v>0</v>
      </c>
      <c r="AU33">
        <f t="shared" si="28"/>
        <v>0</v>
      </c>
      <c r="AV33">
        <f t="shared" si="28"/>
        <v>0</v>
      </c>
      <c r="AW33">
        <f t="shared" si="28"/>
        <v>0</v>
      </c>
      <c r="AX33">
        <f t="shared" si="28"/>
        <v>0</v>
      </c>
      <c r="AY33">
        <f t="shared" si="28"/>
        <v>0</v>
      </c>
      <c r="AZ33">
        <f t="shared" si="28"/>
        <v>0</v>
      </c>
      <c r="BA33">
        <f t="shared" si="28"/>
        <v>0</v>
      </c>
      <c r="BB33">
        <f t="shared" si="22"/>
        <v>0</v>
      </c>
      <c r="BC33">
        <f t="shared" si="20"/>
        <v>0</v>
      </c>
    </row>
    <row r="34" spans="3:58" x14ac:dyDescent="0.35">
      <c r="D34" t="s">
        <v>19</v>
      </c>
      <c r="E34" t="s">
        <v>15</v>
      </c>
      <c r="F34">
        <v>0</v>
      </c>
      <c r="G34">
        <v>0</v>
      </c>
      <c r="H34">
        <v>0</v>
      </c>
      <c r="I34">
        <v>0</v>
      </c>
      <c r="J34">
        <v>0</v>
      </c>
      <c r="K34">
        <v>-2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-2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f t="shared" si="0"/>
        <v>-0.2</v>
      </c>
      <c r="AA34">
        <f t="shared" si="1"/>
        <v>0.6155870112510925</v>
      </c>
      <c r="AB34">
        <f t="shared" si="2"/>
        <v>0.37894736842105264</v>
      </c>
      <c r="AC34">
        <f t="shared" si="3"/>
        <v>-3.0779350562554622</v>
      </c>
      <c r="AF34" t="s">
        <v>19</v>
      </c>
      <c r="AG34" t="s">
        <v>7</v>
      </c>
      <c r="AH34">
        <f t="shared" ref="AH34:BA34" si="29">F33/F35</f>
        <v>7.1428571428571425E-2</v>
      </c>
      <c r="AI34">
        <f t="shared" si="29"/>
        <v>0</v>
      </c>
      <c r="AJ34">
        <f t="shared" si="29"/>
        <v>9.3023255813953487E-2</v>
      </c>
      <c r="AK34">
        <f t="shared" si="29"/>
        <v>0.13636363636363635</v>
      </c>
      <c r="AL34">
        <f t="shared" si="29"/>
        <v>9.0909090909090912E-2</v>
      </c>
      <c r="AM34">
        <f t="shared" si="29"/>
        <v>0.10416666666666667</v>
      </c>
      <c r="AN34">
        <f t="shared" si="29"/>
        <v>0.1</v>
      </c>
      <c r="AO34">
        <f t="shared" si="29"/>
        <v>7.6923076923076927E-2</v>
      </c>
      <c r="AP34">
        <f t="shared" si="29"/>
        <v>0</v>
      </c>
      <c r="AQ34">
        <f t="shared" si="29"/>
        <v>9.0909090909090912E-2</v>
      </c>
      <c r="AR34">
        <f t="shared" si="29"/>
        <v>0.1</v>
      </c>
      <c r="AS34">
        <f t="shared" si="29"/>
        <v>0.125</v>
      </c>
      <c r="AT34">
        <f t="shared" si="29"/>
        <v>0.05</v>
      </c>
      <c r="AU34">
        <f t="shared" si="29"/>
        <v>6.0606060606060608E-2</v>
      </c>
      <c r="AV34">
        <f t="shared" si="29"/>
        <v>7.6923076923076927E-2</v>
      </c>
      <c r="AW34">
        <f t="shared" si="29"/>
        <v>0.15384615384615385</v>
      </c>
      <c r="AX34">
        <f t="shared" si="29"/>
        <v>0.13157894736842105</v>
      </c>
      <c r="AY34">
        <f t="shared" si="29"/>
        <v>8.1081081081081086E-2</v>
      </c>
      <c r="AZ34">
        <f t="shared" si="29"/>
        <v>7.3170731707317069E-2</v>
      </c>
      <c r="BA34">
        <f t="shared" si="29"/>
        <v>2.6315789473684209E-2</v>
      </c>
      <c r="BB34">
        <f t="shared" si="22"/>
        <v>8.2112261500994085E-2</v>
      </c>
      <c r="BC34">
        <f t="shared" si="20"/>
        <v>4.1113609966535923E-2</v>
      </c>
    </row>
    <row r="35" spans="3:58" x14ac:dyDescent="0.35">
      <c r="E35" t="s">
        <v>78</v>
      </c>
      <c r="F35">
        <v>14</v>
      </c>
      <c r="G35">
        <v>14</v>
      </c>
      <c r="H35">
        <v>43</v>
      </c>
      <c r="I35">
        <v>44</v>
      </c>
      <c r="J35">
        <v>22</v>
      </c>
      <c r="K35">
        <v>48</v>
      </c>
      <c r="L35">
        <v>10</v>
      </c>
      <c r="M35">
        <v>52</v>
      </c>
      <c r="N35">
        <v>15</v>
      </c>
      <c r="O35">
        <v>33</v>
      </c>
      <c r="P35">
        <v>20</v>
      </c>
      <c r="Q35">
        <v>32</v>
      </c>
      <c r="R35">
        <v>20</v>
      </c>
      <c r="S35">
        <v>33</v>
      </c>
      <c r="T35">
        <v>26</v>
      </c>
      <c r="U35">
        <v>13</v>
      </c>
      <c r="V35">
        <v>38</v>
      </c>
      <c r="W35">
        <v>37</v>
      </c>
      <c r="X35">
        <v>41</v>
      </c>
      <c r="Y35">
        <v>38</v>
      </c>
      <c r="Z35">
        <f t="shared" si="0"/>
        <v>29.65</v>
      </c>
      <c r="AA35">
        <f t="shared" si="1"/>
        <v>12.97071600507121</v>
      </c>
      <c r="AB35">
        <f t="shared" si="2"/>
        <v>168.23947368421048</v>
      </c>
      <c r="AC35">
        <f t="shared" si="3"/>
        <v>0.43746091079498184</v>
      </c>
      <c r="AF35" t="s">
        <v>19</v>
      </c>
      <c r="AG35" t="s">
        <v>15</v>
      </c>
      <c r="AH35">
        <f t="shared" ref="AH35:BA35" si="30">F34/F35</f>
        <v>0</v>
      </c>
      <c r="AI35">
        <f t="shared" si="30"/>
        <v>0</v>
      </c>
      <c r="AJ35">
        <f t="shared" si="30"/>
        <v>0</v>
      </c>
      <c r="AK35">
        <f t="shared" si="30"/>
        <v>0</v>
      </c>
      <c r="AL35">
        <f t="shared" si="30"/>
        <v>0</v>
      </c>
      <c r="AM35">
        <f t="shared" si="30"/>
        <v>-4.1666666666666664E-2</v>
      </c>
      <c r="AN35">
        <f t="shared" si="30"/>
        <v>0</v>
      </c>
      <c r="AO35">
        <f t="shared" si="30"/>
        <v>0</v>
      </c>
      <c r="AP35">
        <f t="shared" si="30"/>
        <v>0</v>
      </c>
      <c r="AQ35">
        <f t="shared" si="30"/>
        <v>0</v>
      </c>
      <c r="AR35">
        <f t="shared" si="30"/>
        <v>0</v>
      </c>
      <c r="AS35">
        <f t="shared" si="30"/>
        <v>0</v>
      </c>
      <c r="AT35">
        <f t="shared" si="30"/>
        <v>0</v>
      </c>
      <c r="AU35">
        <f t="shared" si="30"/>
        <v>-6.0606060606060608E-2</v>
      </c>
      <c r="AV35">
        <f t="shared" si="30"/>
        <v>0</v>
      </c>
      <c r="AW35">
        <f t="shared" si="30"/>
        <v>0</v>
      </c>
      <c r="AX35">
        <f t="shared" si="30"/>
        <v>0</v>
      </c>
      <c r="AY35">
        <f t="shared" si="30"/>
        <v>0</v>
      </c>
      <c r="AZ35">
        <f t="shared" si="30"/>
        <v>0</v>
      </c>
      <c r="BA35">
        <f t="shared" si="30"/>
        <v>0</v>
      </c>
      <c r="BB35">
        <f t="shared" si="22"/>
        <v>-5.1136363636363636E-3</v>
      </c>
      <c r="BC35">
        <f t="shared" si="20"/>
        <v>1.6036504665928396E-2</v>
      </c>
    </row>
    <row r="36" spans="3:58" x14ac:dyDescent="0.35">
      <c r="C36">
        <v>3</v>
      </c>
      <c r="D36" t="s">
        <v>19</v>
      </c>
      <c r="E36" t="s">
        <v>42</v>
      </c>
      <c r="F36">
        <v>2</v>
      </c>
      <c r="G36">
        <v>2</v>
      </c>
      <c r="H36">
        <v>5</v>
      </c>
      <c r="I36">
        <v>5</v>
      </c>
      <c r="J36">
        <v>2</v>
      </c>
      <c r="K36">
        <v>3</v>
      </c>
      <c r="L36">
        <v>2</v>
      </c>
      <c r="M36">
        <v>5</v>
      </c>
      <c r="N36">
        <v>2</v>
      </c>
      <c r="O36">
        <v>4</v>
      </c>
      <c r="P36">
        <v>2</v>
      </c>
      <c r="Q36">
        <v>4</v>
      </c>
      <c r="R36">
        <v>2</v>
      </c>
      <c r="S36">
        <v>2</v>
      </c>
      <c r="T36">
        <v>3</v>
      </c>
      <c r="U36">
        <v>2</v>
      </c>
      <c r="V36">
        <v>4</v>
      </c>
      <c r="W36">
        <v>5</v>
      </c>
      <c r="X36">
        <v>3</v>
      </c>
      <c r="Y36">
        <v>5</v>
      </c>
      <c r="Z36">
        <f t="shared" si="0"/>
        <v>3.2</v>
      </c>
      <c r="AA36">
        <f t="shared" si="1"/>
        <v>1.2814465510343747</v>
      </c>
      <c r="AB36">
        <f t="shared" si="2"/>
        <v>1.6421052631578941</v>
      </c>
      <c r="AC36">
        <f t="shared" si="3"/>
        <v>0.40045204719824207</v>
      </c>
      <c r="AG36" t="s">
        <v>78</v>
      </c>
    </row>
    <row r="37" spans="3:58" x14ac:dyDescent="0.35">
      <c r="D37" t="s">
        <v>19</v>
      </c>
      <c r="E37" s="1" t="s">
        <v>43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f t="shared" si="0"/>
        <v>0.05</v>
      </c>
      <c r="AA37">
        <f t="shared" si="1"/>
        <v>0.22360679774997896</v>
      </c>
      <c r="AB37">
        <f t="shared" si="2"/>
        <v>4.9999999999999996E-2</v>
      </c>
      <c r="AC37">
        <f t="shared" si="3"/>
        <v>4.4721359549995787</v>
      </c>
      <c r="AF37" t="s">
        <v>19</v>
      </c>
      <c r="AG37" t="s">
        <v>42</v>
      </c>
    </row>
    <row r="38" spans="3:58" x14ac:dyDescent="0.35">
      <c r="E38" t="s">
        <v>72</v>
      </c>
      <c r="AF38" t="s">
        <v>19</v>
      </c>
      <c r="AG38" s="1" t="s">
        <v>43</v>
      </c>
    </row>
    <row r="39" spans="3:58" x14ac:dyDescent="0.35">
      <c r="C39">
        <v>2</v>
      </c>
      <c r="D39" t="s">
        <v>19</v>
      </c>
      <c r="E39" t="s">
        <v>20</v>
      </c>
      <c r="F39">
        <v>3</v>
      </c>
      <c r="G39">
        <v>3</v>
      </c>
      <c r="H39">
        <v>3</v>
      </c>
      <c r="I39">
        <v>3</v>
      </c>
      <c r="J39">
        <v>3</v>
      </c>
      <c r="K39">
        <v>3</v>
      </c>
      <c r="L39">
        <v>2</v>
      </c>
      <c r="M39">
        <v>3</v>
      </c>
      <c r="N39">
        <v>3</v>
      </c>
      <c r="O39">
        <v>3</v>
      </c>
      <c r="P39">
        <v>3</v>
      </c>
      <c r="Q39">
        <v>3</v>
      </c>
      <c r="R39">
        <v>3</v>
      </c>
      <c r="S39">
        <v>3</v>
      </c>
      <c r="T39">
        <v>3</v>
      </c>
      <c r="U39">
        <v>3</v>
      </c>
      <c r="V39">
        <v>3</v>
      </c>
      <c r="W39">
        <v>3</v>
      </c>
      <c r="X39">
        <v>3</v>
      </c>
      <c r="Y39">
        <v>3</v>
      </c>
      <c r="Z39">
        <f t="shared" si="0"/>
        <v>2.95</v>
      </c>
      <c r="AA39">
        <f t="shared" si="1"/>
        <v>0.22360679774997891</v>
      </c>
      <c r="AB39">
        <f t="shared" si="2"/>
        <v>4.9999999999999975E-2</v>
      </c>
      <c r="AC39">
        <f t="shared" si="3"/>
        <v>7.5798914491518266E-2</v>
      </c>
      <c r="AG39" t="s">
        <v>72</v>
      </c>
    </row>
    <row r="40" spans="3:58" x14ac:dyDescent="0.35">
      <c r="C40">
        <v>2</v>
      </c>
      <c r="D40" t="s">
        <v>19</v>
      </c>
      <c r="E40" t="s">
        <v>21</v>
      </c>
      <c r="F40">
        <v>2</v>
      </c>
      <c r="G40">
        <v>2</v>
      </c>
      <c r="H40">
        <v>3</v>
      </c>
      <c r="I40">
        <v>3</v>
      </c>
      <c r="J40">
        <v>2</v>
      </c>
      <c r="K40">
        <v>3</v>
      </c>
      <c r="L40">
        <v>1</v>
      </c>
      <c r="M40">
        <v>3</v>
      </c>
      <c r="N40">
        <v>2</v>
      </c>
      <c r="O40">
        <v>3</v>
      </c>
      <c r="P40">
        <v>2</v>
      </c>
      <c r="Q40">
        <v>2</v>
      </c>
      <c r="R40">
        <v>2</v>
      </c>
      <c r="S40">
        <v>3</v>
      </c>
      <c r="T40">
        <v>2</v>
      </c>
      <c r="U40">
        <v>2</v>
      </c>
      <c r="V40">
        <v>3</v>
      </c>
      <c r="W40">
        <v>3</v>
      </c>
      <c r="X40">
        <v>3</v>
      </c>
      <c r="Y40">
        <v>2</v>
      </c>
      <c r="Z40">
        <f t="shared" si="0"/>
        <v>2.4</v>
      </c>
      <c r="AA40">
        <f t="shared" si="1"/>
        <v>0.59824304161611863</v>
      </c>
      <c r="AB40">
        <f t="shared" si="2"/>
        <v>0.3578947368421051</v>
      </c>
      <c r="AC40">
        <f t="shared" si="3"/>
        <v>0.2492679340067161</v>
      </c>
      <c r="AF40" t="s">
        <v>19</v>
      </c>
      <c r="AG40" t="s">
        <v>20</v>
      </c>
    </row>
    <row r="41" spans="3:58" x14ac:dyDescent="0.35">
      <c r="D41" t="s">
        <v>19</v>
      </c>
      <c r="E41" t="s">
        <v>22</v>
      </c>
      <c r="AF41" t="s">
        <v>19</v>
      </c>
      <c r="AG41" t="s">
        <v>21</v>
      </c>
    </row>
    <row r="42" spans="3:58" x14ac:dyDescent="0.35">
      <c r="C42">
        <v>11</v>
      </c>
      <c r="D42" t="s">
        <v>23</v>
      </c>
      <c r="E42" t="s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</v>
      </c>
      <c r="U42">
        <v>0</v>
      </c>
      <c r="V42">
        <v>0</v>
      </c>
      <c r="W42">
        <v>0</v>
      </c>
      <c r="X42">
        <v>0</v>
      </c>
      <c r="Y42">
        <v>0</v>
      </c>
      <c r="Z42">
        <f t="shared" si="0"/>
        <v>0.1</v>
      </c>
      <c r="AA42">
        <f t="shared" si="1"/>
        <v>0.44721359549995793</v>
      </c>
      <c r="AB42">
        <f t="shared" si="2"/>
        <v>0.19999999999999998</v>
      </c>
      <c r="AC42">
        <f t="shared" si="3"/>
        <v>4.4721359549995787</v>
      </c>
      <c r="AF42" t="s">
        <v>19</v>
      </c>
      <c r="AG42" t="s">
        <v>22</v>
      </c>
    </row>
    <row r="43" spans="3:58" x14ac:dyDescent="0.35">
      <c r="D43" t="s">
        <v>23</v>
      </c>
      <c r="E43" t="s">
        <v>15</v>
      </c>
      <c r="F43">
        <v>0</v>
      </c>
      <c r="G43">
        <v>-1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</v>
      </c>
      <c r="U43">
        <v>0</v>
      </c>
      <c r="V43">
        <v>0</v>
      </c>
      <c r="W43">
        <v>0</v>
      </c>
      <c r="X43">
        <v>0</v>
      </c>
      <c r="Y43">
        <v>0</v>
      </c>
      <c r="Z43">
        <f t="shared" si="0"/>
        <v>-0.1</v>
      </c>
      <c r="AA43">
        <f t="shared" si="1"/>
        <v>0.30779350562554625</v>
      </c>
      <c r="AB43">
        <f t="shared" si="2"/>
        <v>9.4736842105263161E-2</v>
      </c>
      <c r="AC43">
        <f t="shared" si="3"/>
        <v>-3.0779350562554622</v>
      </c>
      <c r="AF43" t="s">
        <v>23</v>
      </c>
      <c r="AG43" t="s">
        <v>0</v>
      </c>
      <c r="AH43">
        <f t="shared" ref="AH43:AO43" si="31">F42/F52</f>
        <v>0</v>
      </c>
      <c r="AI43">
        <f t="shared" si="31"/>
        <v>0</v>
      </c>
      <c r="AJ43">
        <f t="shared" si="31"/>
        <v>0</v>
      </c>
      <c r="AK43">
        <f t="shared" si="31"/>
        <v>0</v>
      </c>
      <c r="AL43">
        <f t="shared" si="31"/>
        <v>0</v>
      </c>
      <c r="AM43">
        <f t="shared" si="31"/>
        <v>0</v>
      </c>
      <c r="AN43">
        <f t="shared" si="31"/>
        <v>0</v>
      </c>
      <c r="AO43">
        <f t="shared" si="31"/>
        <v>0</v>
      </c>
      <c r="AP43">
        <v>0</v>
      </c>
      <c r="AQ43">
        <f t="shared" ref="AQ43:BA43" si="32">O42/O52</f>
        <v>0</v>
      </c>
      <c r="AR43">
        <f t="shared" si="32"/>
        <v>0</v>
      </c>
      <c r="AS43">
        <f t="shared" si="32"/>
        <v>0</v>
      </c>
      <c r="AT43">
        <f t="shared" si="32"/>
        <v>0</v>
      </c>
      <c r="AU43">
        <f t="shared" si="32"/>
        <v>0</v>
      </c>
      <c r="AV43">
        <f t="shared" si="32"/>
        <v>7.6923076923076927E-2</v>
      </c>
      <c r="AW43">
        <f t="shared" si="32"/>
        <v>0</v>
      </c>
      <c r="AX43">
        <f t="shared" si="32"/>
        <v>0</v>
      </c>
      <c r="AY43">
        <f t="shared" si="32"/>
        <v>0</v>
      </c>
      <c r="AZ43">
        <f t="shared" si="32"/>
        <v>0</v>
      </c>
      <c r="BA43">
        <f t="shared" si="32"/>
        <v>0</v>
      </c>
      <c r="BB43">
        <f>AVERAGE(AH43:BA43)</f>
        <v>3.8461538461538464E-3</v>
      </c>
      <c r="BC43">
        <f t="shared" ref="BC43:BC52" si="33">_xlfn.STDEV.S(AH43:BA43)</f>
        <v>1.7200522903844537E-2</v>
      </c>
      <c r="BF43" t="s">
        <v>127</v>
      </c>
    </row>
    <row r="44" spans="3:58" x14ac:dyDescent="0.35">
      <c r="C44">
        <v>7</v>
      </c>
      <c r="D44" t="s">
        <v>23</v>
      </c>
      <c r="E44" t="s">
        <v>4</v>
      </c>
      <c r="F44">
        <v>0</v>
      </c>
      <c r="G44">
        <v>1</v>
      </c>
      <c r="H44">
        <v>4</v>
      </c>
      <c r="I44">
        <v>0</v>
      </c>
      <c r="J44">
        <v>2</v>
      </c>
      <c r="K44">
        <v>4</v>
      </c>
      <c r="L44">
        <v>0</v>
      </c>
      <c r="M44">
        <v>0</v>
      </c>
      <c r="N44">
        <v>0</v>
      </c>
      <c r="O44">
        <v>1</v>
      </c>
      <c r="P44">
        <v>3</v>
      </c>
      <c r="Q44">
        <v>1</v>
      </c>
      <c r="R44">
        <v>0</v>
      </c>
      <c r="S44">
        <v>4</v>
      </c>
      <c r="T44">
        <v>1</v>
      </c>
      <c r="U44">
        <v>0</v>
      </c>
      <c r="V44">
        <v>2</v>
      </c>
      <c r="W44">
        <v>1</v>
      </c>
      <c r="X44">
        <v>3</v>
      </c>
      <c r="Y44">
        <v>1</v>
      </c>
      <c r="Z44">
        <f t="shared" si="0"/>
        <v>1.4</v>
      </c>
      <c r="AA44">
        <f t="shared" si="1"/>
        <v>1.4653901941300931</v>
      </c>
      <c r="AB44">
        <f t="shared" si="2"/>
        <v>2.1473684210526316</v>
      </c>
      <c r="AC44">
        <f t="shared" si="3"/>
        <v>1.0467072815214951</v>
      </c>
      <c r="AF44" t="s">
        <v>23</v>
      </c>
      <c r="AG44" t="s">
        <v>15</v>
      </c>
      <c r="AH44">
        <f t="shared" ref="AH44:AO44" si="34">F43/F52</f>
        <v>0</v>
      </c>
      <c r="AI44">
        <f t="shared" si="34"/>
        <v>-0.04</v>
      </c>
      <c r="AJ44">
        <f t="shared" si="34"/>
        <v>0</v>
      </c>
      <c r="AK44">
        <f t="shared" si="34"/>
        <v>0</v>
      </c>
      <c r="AL44">
        <f t="shared" si="34"/>
        <v>0</v>
      </c>
      <c r="AM44">
        <f t="shared" si="34"/>
        <v>0</v>
      </c>
      <c r="AN44">
        <f t="shared" si="34"/>
        <v>0</v>
      </c>
      <c r="AO44">
        <f t="shared" si="34"/>
        <v>0</v>
      </c>
      <c r="AP44">
        <v>0</v>
      </c>
      <c r="AQ44">
        <f t="shared" ref="AQ44:BA44" si="35">O43/O52</f>
        <v>0</v>
      </c>
      <c r="AR44">
        <f t="shared" si="35"/>
        <v>0</v>
      </c>
      <c r="AS44">
        <f t="shared" si="35"/>
        <v>0</v>
      </c>
      <c r="AT44">
        <f t="shared" si="35"/>
        <v>0</v>
      </c>
      <c r="AU44">
        <f t="shared" si="35"/>
        <v>0</v>
      </c>
      <c r="AV44">
        <f t="shared" si="35"/>
        <v>-3.8461538461538464E-2</v>
      </c>
      <c r="AW44">
        <f t="shared" si="35"/>
        <v>0</v>
      </c>
      <c r="AX44">
        <f t="shared" si="35"/>
        <v>0</v>
      </c>
      <c r="AY44">
        <f t="shared" si="35"/>
        <v>0</v>
      </c>
      <c r="AZ44">
        <f t="shared" si="35"/>
        <v>0</v>
      </c>
      <c r="BA44">
        <f t="shared" si="35"/>
        <v>0</v>
      </c>
      <c r="BB44">
        <f t="shared" ref="BB44:BB52" si="36">AVERAGE(AH44:BA44)</f>
        <v>-3.9230769230769232E-3</v>
      </c>
      <c r="BC44">
        <f t="shared" si="33"/>
        <v>1.2077554845643107E-2</v>
      </c>
    </row>
    <row r="45" spans="3:58" x14ac:dyDescent="0.35">
      <c r="D45" t="s">
        <v>23</v>
      </c>
      <c r="E45" t="s">
        <v>15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f t="shared" si="0"/>
        <v>0</v>
      </c>
      <c r="AA45">
        <f t="shared" si="1"/>
        <v>0</v>
      </c>
      <c r="AB45">
        <f t="shared" si="2"/>
        <v>0</v>
      </c>
      <c r="AF45" t="s">
        <v>23</v>
      </c>
      <c r="AG45" t="s">
        <v>4</v>
      </c>
      <c r="AH45">
        <f t="shared" ref="AH45:AO45" si="37">F44/F52</f>
        <v>0</v>
      </c>
      <c r="AI45">
        <f t="shared" si="37"/>
        <v>0.04</v>
      </c>
      <c r="AJ45">
        <f t="shared" si="37"/>
        <v>0.1111111111111111</v>
      </c>
      <c r="AK45">
        <f t="shared" si="37"/>
        <v>0</v>
      </c>
      <c r="AL45">
        <f t="shared" si="37"/>
        <v>0.10526315789473684</v>
      </c>
      <c r="AM45">
        <f t="shared" si="37"/>
        <v>0.12903225806451613</v>
      </c>
      <c r="AN45">
        <f t="shared" si="37"/>
        <v>0</v>
      </c>
      <c r="AO45">
        <f t="shared" si="37"/>
        <v>0</v>
      </c>
      <c r="AP45">
        <v>0</v>
      </c>
      <c r="AQ45">
        <f t="shared" ref="AQ45:BA45" si="38">O44/O52</f>
        <v>0.1111111111111111</v>
      </c>
      <c r="AR45">
        <f t="shared" si="38"/>
        <v>0.13043478260869565</v>
      </c>
      <c r="AS45">
        <f t="shared" si="38"/>
        <v>4.3478260869565216E-2</v>
      </c>
      <c r="AT45">
        <f t="shared" si="38"/>
        <v>0</v>
      </c>
      <c r="AU45">
        <f t="shared" si="38"/>
        <v>0.13793103448275862</v>
      </c>
      <c r="AV45">
        <f t="shared" si="38"/>
        <v>3.8461538461538464E-2</v>
      </c>
      <c r="AW45">
        <f t="shared" si="38"/>
        <v>0</v>
      </c>
      <c r="AX45">
        <f t="shared" si="38"/>
        <v>0.15384615384615385</v>
      </c>
      <c r="AY45">
        <f t="shared" si="38"/>
        <v>0.1</v>
      </c>
      <c r="AZ45">
        <f t="shared" si="38"/>
        <v>7.6923076923076927E-2</v>
      </c>
      <c r="BA45">
        <f t="shared" si="38"/>
        <v>2.9411764705882353E-2</v>
      </c>
      <c r="BB45">
        <f t="shared" si="36"/>
        <v>6.03502125039573E-2</v>
      </c>
      <c r="BC45">
        <f t="shared" si="33"/>
        <v>5.6678573732588854E-2</v>
      </c>
      <c r="BF45" t="s">
        <v>0</v>
      </c>
    </row>
    <row r="46" spans="3:58" x14ac:dyDescent="0.35">
      <c r="C46">
        <v>6</v>
      </c>
      <c r="D46" t="s">
        <v>23</v>
      </c>
      <c r="E46" t="s">
        <v>5</v>
      </c>
      <c r="F46">
        <v>2</v>
      </c>
      <c r="G46">
        <v>2</v>
      </c>
      <c r="H46">
        <v>5</v>
      </c>
      <c r="I46">
        <v>3</v>
      </c>
      <c r="J46">
        <v>1</v>
      </c>
      <c r="K46">
        <v>1</v>
      </c>
      <c r="L46">
        <v>1</v>
      </c>
      <c r="M46">
        <v>2</v>
      </c>
      <c r="N46">
        <v>0</v>
      </c>
      <c r="O46">
        <v>1</v>
      </c>
      <c r="P46">
        <v>2</v>
      </c>
      <c r="Q46">
        <v>4</v>
      </c>
      <c r="R46">
        <v>1</v>
      </c>
      <c r="S46">
        <v>2</v>
      </c>
      <c r="T46">
        <v>3</v>
      </c>
      <c r="U46">
        <v>4</v>
      </c>
      <c r="V46">
        <v>1</v>
      </c>
      <c r="W46">
        <v>1</v>
      </c>
      <c r="X46">
        <v>6</v>
      </c>
      <c r="Y46">
        <v>2</v>
      </c>
      <c r="Z46">
        <f t="shared" si="0"/>
        <v>2.2000000000000002</v>
      </c>
      <c r="AA46">
        <f t="shared" si="1"/>
        <v>1.5423836644690752</v>
      </c>
      <c r="AB46">
        <f t="shared" si="2"/>
        <v>2.3789473684210529</v>
      </c>
      <c r="AC46">
        <f t="shared" si="3"/>
        <v>0.70108348384957953</v>
      </c>
      <c r="AF46" t="s">
        <v>23</v>
      </c>
      <c r="AG46" t="s">
        <v>15</v>
      </c>
      <c r="AH46">
        <f t="shared" ref="AH46:AO46" si="39">F45/F52</f>
        <v>0</v>
      </c>
      <c r="AI46">
        <f t="shared" si="39"/>
        <v>0</v>
      </c>
      <c r="AJ46">
        <f t="shared" si="39"/>
        <v>0</v>
      </c>
      <c r="AK46">
        <f t="shared" si="39"/>
        <v>0</v>
      </c>
      <c r="AL46">
        <f t="shared" si="39"/>
        <v>0</v>
      </c>
      <c r="AM46">
        <f t="shared" si="39"/>
        <v>0</v>
      </c>
      <c r="AN46">
        <f t="shared" si="39"/>
        <v>0</v>
      </c>
      <c r="AO46">
        <f t="shared" si="39"/>
        <v>0</v>
      </c>
      <c r="AP46">
        <v>0</v>
      </c>
      <c r="AQ46">
        <f t="shared" ref="AQ46:BA46" si="40">O45/O52</f>
        <v>0</v>
      </c>
      <c r="AR46">
        <f t="shared" si="40"/>
        <v>0</v>
      </c>
      <c r="AS46">
        <f t="shared" si="40"/>
        <v>0</v>
      </c>
      <c r="AT46">
        <f t="shared" si="40"/>
        <v>0</v>
      </c>
      <c r="AU46">
        <f t="shared" si="40"/>
        <v>0</v>
      </c>
      <c r="AV46">
        <f t="shared" si="40"/>
        <v>0</v>
      </c>
      <c r="AW46">
        <f t="shared" si="40"/>
        <v>0</v>
      </c>
      <c r="AX46">
        <f t="shared" si="40"/>
        <v>0</v>
      </c>
      <c r="AY46">
        <f t="shared" si="40"/>
        <v>0</v>
      </c>
      <c r="AZ46">
        <f t="shared" si="40"/>
        <v>0</v>
      </c>
      <c r="BA46">
        <f t="shared" si="40"/>
        <v>0</v>
      </c>
      <c r="BB46">
        <f t="shared" si="36"/>
        <v>0</v>
      </c>
      <c r="BC46">
        <f t="shared" si="33"/>
        <v>0</v>
      </c>
      <c r="BF46" t="s">
        <v>14</v>
      </c>
    </row>
    <row r="47" spans="3:58" x14ac:dyDescent="0.35">
      <c r="D47" t="s">
        <v>23</v>
      </c>
      <c r="E47" t="s">
        <v>15</v>
      </c>
      <c r="F47">
        <v>0</v>
      </c>
      <c r="G47">
        <v>-2</v>
      </c>
      <c r="H47">
        <v>0</v>
      </c>
      <c r="I47">
        <v>0</v>
      </c>
      <c r="J47">
        <v>-2</v>
      </c>
      <c r="K47">
        <v>-2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-1</v>
      </c>
      <c r="S47">
        <v>-1</v>
      </c>
      <c r="T47">
        <v>-1</v>
      </c>
      <c r="U47">
        <v>0</v>
      </c>
      <c r="V47">
        <v>0</v>
      </c>
      <c r="W47">
        <v>0</v>
      </c>
      <c r="X47">
        <v>-1</v>
      </c>
      <c r="Y47">
        <v>-1</v>
      </c>
      <c r="Z47">
        <f t="shared" si="0"/>
        <v>-0.55000000000000004</v>
      </c>
      <c r="AA47">
        <f t="shared" si="1"/>
        <v>0.7591546545162482</v>
      </c>
      <c r="AB47">
        <f t="shared" si="2"/>
        <v>0.57631578947368423</v>
      </c>
      <c r="AC47">
        <f t="shared" si="3"/>
        <v>-1.380281190029542</v>
      </c>
      <c r="AF47" t="s">
        <v>23</v>
      </c>
      <c r="AG47" t="s">
        <v>5</v>
      </c>
      <c r="AH47">
        <f t="shared" ref="AH47:AO47" si="41">F46/F52</f>
        <v>0.11764705882352941</v>
      </c>
      <c r="AI47">
        <f t="shared" si="41"/>
        <v>0.08</v>
      </c>
      <c r="AJ47">
        <f t="shared" si="41"/>
        <v>0.1388888888888889</v>
      </c>
      <c r="AK47">
        <f t="shared" si="41"/>
        <v>0.15789473684210525</v>
      </c>
      <c r="AL47">
        <f t="shared" si="41"/>
        <v>5.2631578947368418E-2</v>
      </c>
      <c r="AM47">
        <f t="shared" si="41"/>
        <v>3.2258064516129031E-2</v>
      </c>
      <c r="AN47">
        <f t="shared" si="41"/>
        <v>0.2</v>
      </c>
      <c r="AO47">
        <f t="shared" si="41"/>
        <v>0.13333333333333333</v>
      </c>
      <c r="AP47">
        <v>0</v>
      </c>
      <c r="AQ47">
        <f t="shared" ref="AQ47:BA47" si="42">O46/O52</f>
        <v>0.1111111111111111</v>
      </c>
      <c r="AR47">
        <f t="shared" si="42"/>
        <v>8.6956521739130432E-2</v>
      </c>
      <c r="AS47">
        <f t="shared" si="42"/>
        <v>0.17391304347826086</v>
      </c>
      <c r="AT47">
        <f t="shared" si="42"/>
        <v>5.5555555555555552E-2</v>
      </c>
      <c r="AU47">
        <f t="shared" si="42"/>
        <v>6.8965517241379309E-2</v>
      </c>
      <c r="AV47">
        <f t="shared" si="42"/>
        <v>0.11538461538461539</v>
      </c>
      <c r="AW47">
        <f t="shared" si="42"/>
        <v>0.22222222222222221</v>
      </c>
      <c r="AX47">
        <f t="shared" si="42"/>
        <v>7.6923076923076927E-2</v>
      </c>
      <c r="AY47">
        <f t="shared" si="42"/>
        <v>0.1</v>
      </c>
      <c r="AZ47">
        <f t="shared" si="42"/>
        <v>0.15384615384615385</v>
      </c>
      <c r="BA47">
        <f t="shared" si="42"/>
        <v>5.8823529411764705E-2</v>
      </c>
      <c r="BB47">
        <f t="shared" si="36"/>
        <v>0.10681775041323123</v>
      </c>
      <c r="BC47">
        <f t="shared" si="33"/>
        <v>5.6933648367981704E-2</v>
      </c>
      <c r="BF47" t="s">
        <v>4</v>
      </c>
    </row>
    <row r="48" spans="3:58" x14ac:dyDescent="0.35">
      <c r="C48">
        <v>4</v>
      </c>
      <c r="D48" t="s">
        <v>23</v>
      </c>
      <c r="E48" t="s">
        <v>6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1</v>
      </c>
      <c r="Q48">
        <v>0</v>
      </c>
      <c r="R48">
        <v>0</v>
      </c>
      <c r="S48">
        <v>1</v>
      </c>
      <c r="T48">
        <v>2</v>
      </c>
      <c r="U48">
        <v>0</v>
      </c>
      <c r="V48">
        <v>0</v>
      </c>
      <c r="W48">
        <v>0</v>
      </c>
      <c r="X48">
        <v>1</v>
      </c>
      <c r="Y48">
        <v>2</v>
      </c>
      <c r="Z48">
        <f t="shared" si="0"/>
        <v>0.45</v>
      </c>
      <c r="AA48">
        <f t="shared" si="1"/>
        <v>0.68633274115325971</v>
      </c>
      <c r="AB48">
        <f t="shared" si="2"/>
        <v>0.47105263157894733</v>
      </c>
      <c r="AC48">
        <f t="shared" si="3"/>
        <v>1.5251838692294659</v>
      </c>
      <c r="AF48" t="s">
        <v>23</v>
      </c>
      <c r="AG48" t="s">
        <v>15</v>
      </c>
      <c r="AH48">
        <f t="shared" ref="AH48:AO48" si="43">F47/F52</f>
        <v>0</v>
      </c>
      <c r="AI48">
        <f t="shared" si="43"/>
        <v>-0.08</v>
      </c>
      <c r="AJ48">
        <f t="shared" si="43"/>
        <v>0</v>
      </c>
      <c r="AK48">
        <f t="shared" si="43"/>
        <v>0</v>
      </c>
      <c r="AL48">
        <f t="shared" si="43"/>
        <v>-0.10526315789473684</v>
      </c>
      <c r="AM48">
        <f t="shared" si="43"/>
        <v>-6.4516129032258063E-2</v>
      </c>
      <c r="AN48">
        <f t="shared" si="43"/>
        <v>0</v>
      </c>
      <c r="AO48">
        <f t="shared" si="43"/>
        <v>0</v>
      </c>
      <c r="AP48">
        <v>0</v>
      </c>
      <c r="AQ48">
        <f t="shared" ref="AQ48:BA48" si="44">O47/O52</f>
        <v>0</v>
      </c>
      <c r="AR48">
        <f t="shared" si="44"/>
        <v>0</v>
      </c>
      <c r="AS48">
        <f t="shared" si="44"/>
        <v>0</v>
      </c>
      <c r="AT48">
        <f t="shared" si="44"/>
        <v>-5.5555555555555552E-2</v>
      </c>
      <c r="AU48">
        <f t="shared" si="44"/>
        <v>-3.4482758620689655E-2</v>
      </c>
      <c r="AV48">
        <f t="shared" si="44"/>
        <v>-3.8461538461538464E-2</v>
      </c>
      <c r="AW48">
        <f t="shared" si="44"/>
        <v>0</v>
      </c>
      <c r="AX48">
        <f t="shared" si="44"/>
        <v>0</v>
      </c>
      <c r="AY48">
        <f t="shared" si="44"/>
        <v>0</v>
      </c>
      <c r="AZ48">
        <f t="shared" si="44"/>
        <v>-2.564102564102564E-2</v>
      </c>
      <c r="BA48">
        <f t="shared" si="44"/>
        <v>-2.9411764705882353E-2</v>
      </c>
      <c r="BB48">
        <f t="shared" si="36"/>
        <v>-2.1666596495584334E-2</v>
      </c>
      <c r="BC48">
        <f t="shared" si="33"/>
        <v>3.2061716535026479E-2</v>
      </c>
      <c r="BF48" t="s">
        <v>16</v>
      </c>
    </row>
    <row r="49" spans="3:58" x14ac:dyDescent="0.35">
      <c r="D49" t="s">
        <v>23</v>
      </c>
      <c r="E49" t="s">
        <v>15</v>
      </c>
      <c r="F49">
        <v>0</v>
      </c>
      <c r="G49">
        <v>0</v>
      </c>
      <c r="H49">
        <v>-1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f t="shared" si="0"/>
        <v>-0.05</v>
      </c>
      <c r="AA49">
        <f t="shared" si="1"/>
        <v>0.22360679774997896</v>
      </c>
      <c r="AB49">
        <f t="shared" si="2"/>
        <v>4.9999999999999996E-2</v>
      </c>
      <c r="AC49">
        <f t="shared" si="3"/>
        <v>-4.4721359549995787</v>
      </c>
      <c r="AF49" t="s">
        <v>23</v>
      </c>
      <c r="AG49" t="s">
        <v>6</v>
      </c>
      <c r="AH49">
        <f t="shared" ref="AH49:AO49" si="45">F48/F52</f>
        <v>0</v>
      </c>
      <c r="AI49">
        <f t="shared" si="45"/>
        <v>0</v>
      </c>
      <c r="AJ49">
        <f t="shared" si="45"/>
        <v>2.7777777777777776E-2</v>
      </c>
      <c r="AK49">
        <f t="shared" si="45"/>
        <v>0</v>
      </c>
      <c r="AL49">
        <f t="shared" si="45"/>
        <v>0</v>
      </c>
      <c r="AM49">
        <f t="shared" si="45"/>
        <v>0</v>
      </c>
      <c r="AN49">
        <f t="shared" si="45"/>
        <v>0</v>
      </c>
      <c r="AO49">
        <f t="shared" si="45"/>
        <v>6.6666666666666666E-2</v>
      </c>
      <c r="AP49">
        <v>0</v>
      </c>
      <c r="AQ49">
        <f t="shared" ref="AQ49:BA49" si="46">O48/O52</f>
        <v>0</v>
      </c>
      <c r="AR49">
        <f t="shared" si="46"/>
        <v>4.3478260869565216E-2</v>
      </c>
      <c r="AS49">
        <f t="shared" si="46"/>
        <v>0</v>
      </c>
      <c r="AT49">
        <f t="shared" si="46"/>
        <v>0</v>
      </c>
      <c r="AU49">
        <f t="shared" si="46"/>
        <v>3.4482758620689655E-2</v>
      </c>
      <c r="AV49">
        <f t="shared" si="46"/>
        <v>7.6923076923076927E-2</v>
      </c>
      <c r="AW49">
        <f t="shared" si="46"/>
        <v>0</v>
      </c>
      <c r="AX49">
        <f t="shared" si="46"/>
        <v>0</v>
      </c>
      <c r="AY49">
        <f t="shared" si="46"/>
        <v>0</v>
      </c>
      <c r="AZ49">
        <f t="shared" si="46"/>
        <v>2.564102564102564E-2</v>
      </c>
      <c r="BA49">
        <f t="shared" si="46"/>
        <v>5.8823529411764705E-2</v>
      </c>
      <c r="BB49">
        <f t="shared" si="36"/>
        <v>1.6689654795528329E-2</v>
      </c>
      <c r="BC49">
        <f t="shared" si="33"/>
        <v>2.5914238334681469E-2</v>
      </c>
      <c r="BF49" t="s">
        <v>5</v>
      </c>
    </row>
    <row r="50" spans="3:58" x14ac:dyDescent="0.35">
      <c r="C50">
        <v>6</v>
      </c>
      <c r="D50" t="s">
        <v>23</v>
      </c>
      <c r="E50" t="s">
        <v>7</v>
      </c>
      <c r="F50">
        <v>1</v>
      </c>
      <c r="G50">
        <v>5</v>
      </c>
      <c r="H50">
        <v>5</v>
      </c>
      <c r="I50">
        <v>0</v>
      </c>
      <c r="J50">
        <v>2</v>
      </c>
      <c r="K50">
        <v>2</v>
      </c>
      <c r="L50">
        <v>0</v>
      </c>
      <c r="M50">
        <v>0</v>
      </c>
      <c r="N50">
        <v>0</v>
      </c>
      <c r="O50">
        <v>1</v>
      </c>
      <c r="P50">
        <v>1</v>
      </c>
      <c r="Q50">
        <v>3</v>
      </c>
      <c r="R50">
        <v>0</v>
      </c>
      <c r="S50">
        <v>4</v>
      </c>
      <c r="T50">
        <v>1</v>
      </c>
      <c r="U50">
        <v>0</v>
      </c>
      <c r="V50">
        <v>1</v>
      </c>
      <c r="W50">
        <v>2</v>
      </c>
      <c r="X50">
        <v>1</v>
      </c>
      <c r="Y50">
        <v>4</v>
      </c>
      <c r="Z50">
        <f t="shared" si="0"/>
        <v>1.65</v>
      </c>
      <c r="AA50">
        <f t="shared" si="1"/>
        <v>1.6944180805158293</v>
      </c>
      <c r="AB50">
        <f t="shared" si="2"/>
        <v>2.8710526315789471</v>
      </c>
      <c r="AC50">
        <f t="shared" si="3"/>
        <v>1.0269200487974723</v>
      </c>
      <c r="AF50" t="s">
        <v>23</v>
      </c>
      <c r="AG50" t="s">
        <v>15</v>
      </c>
      <c r="AH50">
        <f t="shared" ref="AH50:AO50" si="47">F49/F52</f>
        <v>0</v>
      </c>
      <c r="AI50">
        <f t="shared" si="47"/>
        <v>0</v>
      </c>
      <c r="AJ50">
        <f t="shared" si="47"/>
        <v>-2.7777777777777776E-2</v>
      </c>
      <c r="AK50">
        <f t="shared" si="47"/>
        <v>0</v>
      </c>
      <c r="AL50">
        <f t="shared" si="47"/>
        <v>0</v>
      </c>
      <c r="AM50">
        <f t="shared" si="47"/>
        <v>0</v>
      </c>
      <c r="AN50">
        <f t="shared" si="47"/>
        <v>0</v>
      </c>
      <c r="AO50">
        <f t="shared" si="47"/>
        <v>0</v>
      </c>
      <c r="AP50">
        <v>0</v>
      </c>
      <c r="AQ50">
        <f t="shared" ref="AQ50:BA50" si="48">O49/O52</f>
        <v>0</v>
      </c>
      <c r="AR50">
        <f t="shared" si="48"/>
        <v>0</v>
      </c>
      <c r="AS50">
        <f t="shared" si="48"/>
        <v>0</v>
      </c>
      <c r="AT50">
        <f t="shared" si="48"/>
        <v>0</v>
      </c>
      <c r="AU50">
        <f t="shared" si="48"/>
        <v>0</v>
      </c>
      <c r="AV50">
        <f t="shared" si="48"/>
        <v>0</v>
      </c>
      <c r="AW50">
        <f t="shared" si="48"/>
        <v>0</v>
      </c>
      <c r="AX50">
        <f t="shared" si="48"/>
        <v>0</v>
      </c>
      <c r="AY50">
        <f t="shared" si="48"/>
        <v>0</v>
      </c>
      <c r="AZ50">
        <f t="shared" si="48"/>
        <v>0</v>
      </c>
      <c r="BA50">
        <f t="shared" si="48"/>
        <v>0</v>
      </c>
      <c r="BB50">
        <f t="shared" si="36"/>
        <v>-1.3888888888888887E-3</v>
      </c>
      <c r="BC50">
        <f t="shared" si="33"/>
        <v>6.2112999374994158E-3</v>
      </c>
      <c r="BF50" t="s">
        <v>66</v>
      </c>
    </row>
    <row r="51" spans="3:58" x14ac:dyDescent="0.35">
      <c r="D51" t="s">
        <v>23</v>
      </c>
      <c r="E51" t="s">
        <v>15</v>
      </c>
      <c r="F51">
        <v>0</v>
      </c>
      <c r="G51">
        <v>0</v>
      </c>
      <c r="H51">
        <v>0</v>
      </c>
      <c r="I51">
        <v>-2</v>
      </c>
      <c r="K51">
        <v>-3</v>
      </c>
      <c r="L51">
        <v>-1</v>
      </c>
      <c r="M51">
        <v>-1</v>
      </c>
      <c r="N51">
        <v>0</v>
      </c>
      <c r="O51">
        <v>0</v>
      </c>
      <c r="P51">
        <v>-1</v>
      </c>
      <c r="Q51">
        <v>0</v>
      </c>
      <c r="R51">
        <v>-2</v>
      </c>
      <c r="S51">
        <v>0</v>
      </c>
      <c r="T51">
        <v>0</v>
      </c>
      <c r="U51">
        <v>-2</v>
      </c>
      <c r="V51">
        <v>0</v>
      </c>
      <c r="W51">
        <v>0</v>
      </c>
      <c r="X51">
        <v>-1</v>
      </c>
      <c r="Y51">
        <v>0</v>
      </c>
      <c r="Z51">
        <f t="shared" si="0"/>
        <v>-0.68421052631578949</v>
      </c>
      <c r="AA51">
        <f t="shared" si="1"/>
        <v>0.94590530292691732</v>
      </c>
      <c r="AB51">
        <f t="shared" si="2"/>
        <v>0.89473684210526316</v>
      </c>
      <c r="AC51">
        <f t="shared" si="3"/>
        <v>-1.382476981200879</v>
      </c>
      <c r="AF51" t="s">
        <v>23</v>
      </c>
      <c r="AG51" t="s">
        <v>7</v>
      </c>
      <c r="AH51">
        <f t="shared" ref="AH51:AO51" si="49">F50/F52</f>
        <v>5.8823529411764705E-2</v>
      </c>
      <c r="AI51">
        <f t="shared" si="49"/>
        <v>0.2</v>
      </c>
      <c r="AJ51">
        <f t="shared" si="49"/>
        <v>0.1388888888888889</v>
      </c>
      <c r="AK51">
        <f t="shared" si="49"/>
        <v>0</v>
      </c>
      <c r="AL51">
        <f t="shared" si="49"/>
        <v>0.10526315789473684</v>
      </c>
      <c r="AM51">
        <f t="shared" si="49"/>
        <v>6.4516129032258063E-2</v>
      </c>
      <c r="AN51">
        <f t="shared" si="49"/>
        <v>0</v>
      </c>
      <c r="AO51">
        <f t="shared" si="49"/>
        <v>0</v>
      </c>
      <c r="AP51">
        <v>0</v>
      </c>
      <c r="AQ51">
        <f t="shared" ref="AQ51:BA51" si="50">O50/O52</f>
        <v>0.1111111111111111</v>
      </c>
      <c r="AR51">
        <f t="shared" si="50"/>
        <v>4.3478260869565216E-2</v>
      </c>
      <c r="AS51">
        <f t="shared" si="50"/>
        <v>0.13043478260869565</v>
      </c>
      <c r="AT51">
        <f t="shared" si="50"/>
        <v>0</v>
      </c>
      <c r="AU51">
        <f t="shared" si="50"/>
        <v>0.13793103448275862</v>
      </c>
      <c r="AV51">
        <f t="shared" si="50"/>
        <v>3.8461538461538464E-2</v>
      </c>
      <c r="AW51">
        <f t="shared" si="50"/>
        <v>0</v>
      </c>
      <c r="AX51">
        <f t="shared" si="50"/>
        <v>7.6923076923076927E-2</v>
      </c>
      <c r="AY51">
        <f t="shared" si="50"/>
        <v>0.2</v>
      </c>
      <c r="AZ51">
        <f t="shared" si="50"/>
        <v>2.564102564102564E-2</v>
      </c>
      <c r="BA51">
        <f t="shared" si="50"/>
        <v>0.11764705882352941</v>
      </c>
      <c r="BB51">
        <f t="shared" si="36"/>
        <v>7.2455979707447465E-2</v>
      </c>
      <c r="BC51">
        <f t="shared" si="33"/>
        <v>6.6950334221620625E-2</v>
      </c>
      <c r="BF51" t="s">
        <v>6</v>
      </c>
    </row>
    <row r="52" spans="3:58" x14ac:dyDescent="0.35">
      <c r="E52" t="s">
        <v>78</v>
      </c>
      <c r="F52">
        <v>17</v>
      </c>
      <c r="G52">
        <v>25</v>
      </c>
      <c r="H52">
        <v>36</v>
      </c>
      <c r="I52">
        <v>19</v>
      </c>
      <c r="J52">
        <v>19</v>
      </c>
      <c r="K52">
        <v>31</v>
      </c>
      <c r="L52">
        <v>5</v>
      </c>
      <c r="M52">
        <v>15</v>
      </c>
      <c r="N52">
        <v>0</v>
      </c>
      <c r="O52">
        <v>9</v>
      </c>
      <c r="P52">
        <v>23</v>
      </c>
      <c r="Q52">
        <v>23</v>
      </c>
      <c r="R52">
        <v>18</v>
      </c>
      <c r="S52">
        <v>29</v>
      </c>
      <c r="T52">
        <v>26</v>
      </c>
      <c r="U52">
        <v>18</v>
      </c>
      <c r="V52">
        <v>13</v>
      </c>
      <c r="W52">
        <v>10</v>
      </c>
      <c r="X52">
        <v>39</v>
      </c>
      <c r="Y52">
        <v>34</v>
      </c>
      <c r="Z52">
        <f>AVERAGE(F52:Y52)</f>
        <v>20.45</v>
      </c>
      <c r="AA52">
        <f t="shared" si="1"/>
        <v>10.333771920516883</v>
      </c>
      <c r="AB52">
        <f t="shared" si="2"/>
        <v>106.78684210526319</v>
      </c>
      <c r="AC52">
        <f t="shared" si="3"/>
        <v>0.50531892031867398</v>
      </c>
      <c r="AF52" t="s">
        <v>23</v>
      </c>
      <c r="AG52" t="s">
        <v>15</v>
      </c>
      <c r="AH52">
        <f t="shared" ref="AH52:AO52" si="51">F51/F52</f>
        <v>0</v>
      </c>
      <c r="AI52">
        <f t="shared" si="51"/>
        <v>0</v>
      </c>
      <c r="AJ52">
        <f t="shared" si="51"/>
        <v>0</v>
      </c>
      <c r="AK52">
        <f t="shared" si="51"/>
        <v>-0.10526315789473684</v>
      </c>
      <c r="AL52">
        <f t="shared" si="51"/>
        <v>0</v>
      </c>
      <c r="AM52">
        <f t="shared" si="51"/>
        <v>-9.6774193548387094E-2</v>
      </c>
      <c r="AN52">
        <f t="shared" si="51"/>
        <v>-0.2</v>
      </c>
      <c r="AO52">
        <f t="shared" si="51"/>
        <v>-6.6666666666666666E-2</v>
      </c>
      <c r="AP52">
        <v>0</v>
      </c>
      <c r="AQ52">
        <f t="shared" ref="AQ52:BA52" si="52">O51/O52</f>
        <v>0</v>
      </c>
      <c r="AR52">
        <f t="shared" si="52"/>
        <v>-4.3478260869565216E-2</v>
      </c>
      <c r="AS52">
        <f t="shared" si="52"/>
        <v>0</v>
      </c>
      <c r="AT52">
        <f t="shared" si="52"/>
        <v>-0.1111111111111111</v>
      </c>
      <c r="AU52">
        <f t="shared" si="52"/>
        <v>0</v>
      </c>
      <c r="AV52">
        <f t="shared" si="52"/>
        <v>0</v>
      </c>
      <c r="AW52">
        <f t="shared" si="52"/>
        <v>-0.1111111111111111</v>
      </c>
      <c r="AX52">
        <f t="shared" si="52"/>
        <v>0</v>
      </c>
      <c r="AY52">
        <f t="shared" si="52"/>
        <v>0</v>
      </c>
      <c r="AZ52">
        <f t="shared" si="52"/>
        <v>-2.564102564102564E-2</v>
      </c>
      <c r="BA52">
        <f t="shared" si="52"/>
        <v>0</v>
      </c>
      <c r="BB52">
        <f t="shared" si="36"/>
        <v>-3.8002276342130187E-2</v>
      </c>
      <c r="BC52">
        <f t="shared" si="33"/>
        <v>5.7695088104594699E-2</v>
      </c>
      <c r="BF52" t="s">
        <v>15</v>
      </c>
    </row>
    <row r="53" spans="3:58" x14ac:dyDescent="0.35">
      <c r="C53">
        <v>5</v>
      </c>
      <c r="D53" t="s">
        <v>23</v>
      </c>
      <c r="E53" t="s">
        <v>42</v>
      </c>
      <c r="F53">
        <v>2</v>
      </c>
      <c r="G53">
        <v>3</v>
      </c>
      <c r="H53">
        <v>2</v>
      </c>
      <c r="I53">
        <v>2</v>
      </c>
      <c r="J53">
        <v>2</v>
      </c>
      <c r="K53">
        <v>2</v>
      </c>
      <c r="L53">
        <v>1</v>
      </c>
      <c r="M53">
        <v>1</v>
      </c>
      <c r="N53">
        <v>0</v>
      </c>
      <c r="O53">
        <v>1</v>
      </c>
      <c r="P53">
        <v>2</v>
      </c>
      <c r="Q53">
        <v>3</v>
      </c>
      <c r="R53">
        <v>1</v>
      </c>
      <c r="S53">
        <v>3</v>
      </c>
      <c r="T53">
        <v>4</v>
      </c>
      <c r="U53">
        <v>3</v>
      </c>
      <c r="V53">
        <v>1</v>
      </c>
      <c r="W53">
        <v>1</v>
      </c>
      <c r="X53">
        <v>6</v>
      </c>
      <c r="Y53">
        <v>2</v>
      </c>
      <c r="Z53">
        <f t="shared" si="0"/>
        <v>2.1</v>
      </c>
      <c r="AA53">
        <f t="shared" si="1"/>
        <v>1.3337718577107003</v>
      </c>
      <c r="AB53">
        <f t="shared" si="2"/>
        <v>1.7789473684210524</v>
      </c>
      <c r="AC53">
        <f t="shared" si="3"/>
        <v>0.63512945605271443</v>
      </c>
      <c r="BF53" t="s">
        <v>7</v>
      </c>
    </row>
    <row r="54" spans="3:58" x14ac:dyDescent="0.35">
      <c r="D54" t="s">
        <v>23</v>
      </c>
      <c r="E54" t="s">
        <v>43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f t="shared" si="0"/>
        <v>0.2</v>
      </c>
      <c r="AA54">
        <f t="shared" si="1"/>
        <v>0.52314836378059693</v>
      </c>
      <c r="AB54">
        <f t="shared" si="2"/>
        <v>0.27368421052631581</v>
      </c>
      <c r="AC54">
        <f t="shared" si="3"/>
        <v>2.6157418189029844</v>
      </c>
      <c r="AF54" t="s">
        <v>23</v>
      </c>
      <c r="AG54" t="s">
        <v>42</v>
      </c>
      <c r="BF54" t="s">
        <v>15</v>
      </c>
    </row>
    <row r="55" spans="3:58" x14ac:dyDescent="0.35">
      <c r="E55" t="s">
        <v>72</v>
      </c>
      <c r="AF55" t="s">
        <v>23</v>
      </c>
      <c r="AG55" t="s">
        <v>43</v>
      </c>
    </row>
    <row r="56" spans="3:58" x14ac:dyDescent="0.35">
      <c r="C56">
        <v>2</v>
      </c>
      <c r="D56" t="s">
        <v>23</v>
      </c>
      <c r="E56" t="s">
        <v>20</v>
      </c>
      <c r="F56">
        <v>1</v>
      </c>
      <c r="G56">
        <v>1</v>
      </c>
      <c r="H56">
        <v>1</v>
      </c>
      <c r="I56">
        <v>2</v>
      </c>
      <c r="J56">
        <v>1</v>
      </c>
      <c r="K56">
        <v>1</v>
      </c>
      <c r="L56">
        <v>1</v>
      </c>
      <c r="M56">
        <v>1</v>
      </c>
      <c r="N56">
        <v>0</v>
      </c>
      <c r="O56">
        <v>2</v>
      </c>
      <c r="P56">
        <v>1</v>
      </c>
      <c r="Q56">
        <v>1</v>
      </c>
      <c r="R56">
        <v>1</v>
      </c>
      <c r="S56">
        <v>2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f t="shared" si="0"/>
        <v>1.1000000000000001</v>
      </c>
      <c r="AA56">
        <f t="shared" si="1"/>
        <v>0.44721359549995798</v>
      </c>
      <c r="AB56">
        <f t="shared" si="2"/>
        <v>0.20000000000000004</v>
      </c>
      <c r="AC56">
        <f t="shared" si="3"/>
        <v>0.40655781409087088</v>
      </c>
      <c r="AG56" t="s">
        <v>72</v>
      </c>
    </row>
    <row r="57" spans="3:58" x14ac:dyDescent="0.35">
      <c r="C57">
        <v>2</v>
      </c>
      <c r="D57" t="s">
        <v>23</v>
      </c>
      <c r="E57" t="s">
        <v>21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0</v>
      </c>
      <c r="M57">
        <v>1</v>
      </c>
      <c r="N57">
        <v>0</v>
      </c>
      <c r="O57">
        <v>0</v>
      </c>
      <c r="P57">
        <v>1</v>
      </c>
      <c r="Q57">
        <v>1</v>
      </c>
      <c r="R57">
        <v>1</v>
      </c>
      <c r="S57">
        <v>0</v>
      </c>
      <c r="T57">
        <v>1</v>
      </c>
      <c r="U57">
        <v>1</v>
      </c>
      <c r="V57">
        <v>1</v>
      </c>
      <c r="W57">
        <v>1</v>
      </c>
      <c r="X57">
        <v>2</v>
      </c>
      <c r="Y57">
        <v>1</v>
      </c>
      <c r="Z57">
        <f t="shared" si="0"/>
        <v>0.85</v>
      </c>
      <c r="AA57">
        <f t="shared" si="1"/>
        <v>0.48936048492959294</v>
      </c>
      <c r="AB57">
        <f t="shared" si="2"/>
        <v>0.23947368421052637</v>
      </c>
      <c r="AC57">
        <f t="shared" si="3"/>
        <v>0.57571821756422703</v>
      </c>
      <c r="AF57" t="s">
        <v>23</v>
      </c>
      <c r="AG57" t="s">
        <v>20</v>
      </c>
    </row>
    <row r="58" spans="3:58" x14ac:dyDescent="0.35">
      <c r="D58" t="s">
        <v>23</v>
      </c>
      <c r="E58" t="s">
        <v>68</v>
      </c>
      <c r="AF58" t="s">
        <v>23</v>
      </c>
      <c r="AG58" t="s">
        <v>21</v>
      </c>
    </row>
    <row r="59" spans="3:58" x14ac:dyDescent="0.35">
      <c r="C59">
        <v>11</v>
      </c>
      <c r="D59" t="s">
        <v>24</v>
      </c>
      <c r="E59" t="s">
        <v>0</v>
      </c>
      <c r="F59">
        <v>3</v>
      </c>
      <c r="G59">
        <v>4</v>
      </c>
      <c r="H59">
        <v>4</v>
      </c>
      <c r="I59">
        <v>4</v>
      </c>
      <c r="J59">
        <v>3</v>
      </c>
      <c r="K59">
        <v>3</v>
      </c>
      <c r="L59">
        <v>4</v>
      </c>
      <c r="M59">
        <v>6</v>
      </c>
      <c r="N59">
        <v>4</v>
      </c>
      <c r="O59">
        <v>3</v>
      </c>
      <c r="P59">
        <v>3</v>
      </c>
      <c r="Q59">
        <v>4</v>
      </c>
      <c r="R59">
        <v>5</v>
      </c>
      <c r="S59">
        <v>3</v>
      </c>
      <c r="T59">
        <v>4</v>
      </c>
      <c r="U59">
        <v>3</v>
      </c>
      <c r="V59">
        <v>4</v>
      </c>
      <c r="W59">
        <v>6</v>
      </c>
      <c r="X59">
        <v>3</v>
      </c>
      <c r="Y59">
        <v>6</v>
      </c>
      <c r="Z59">
        <f t="shared" si="0"/>
        <v>3.95</v>
      </c>
      <c r="AA59">
        <f t="shared" si="1"/>
        <v>1.0500626547722607</v>
      </c>
      <c r="AB59">
        <f t="shared" si="2"/>
        <v>1.1026315789473677</v>
      </c>
      <c r="AC59">
        <f t="shared" si="3"/>
        <v>0.26583864677778751</v>
      </c>
      <c r="AF59" t="s">
        <v>23</v>
      </c>
      <c r="AG59" t="s">
        <v>68</v>
      </c>
    </row>
    <row r="60" spans="3:58" x14ac:dyDescent="0.35">
      <c r="D60" t="s">
        <v>24</v>
      </c>
      <c r="E60" t="s">
        <v>15</v>
      </c>
      <c r="F60">
        <v>0</v>
      </c>
      <c r="G60">
        <v>-1</v>
      </c>
      <c r="H60">
        <v>0</v>
      </c>
      <c r="I60">
        <v>0</v>
      </c>
      <c r="J60">
        <v>0</v>
      </c>
      <c r="K60">
        <v>0</v>
      </c>
      <c r="L60">
        <v>-1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f t="shared" si="0"/>
        <v>-0.1</v>
      </c>
      <c r="AA60">
        <f t="shared" si="1"/>
        <v>0.30779350562554625</v>
      </c>
      <c r="AB60">
        <f t="shared" si="2"/>
        <v>9.4736842105263161E-2</v>
      </c>
      <c r="AC60">
        <f t="shared" si="3"/>
        <v>-3.0779350562554622</v>
      </c>
      <c r="AF60" t="s">
        <v>24</v>
      </c>
      <c r="AG60" t="s">
        <v>0</v>
      </c>
      <c r="AH60">
        <f t="shared" ref="AH60:BA60" si="53">F59/F69</f>
        <v>0.17647058823529413</v>
      </c>
      <c r="AI60">
        <f t="shared" si="53"/>
        <v>0.16666666666666666</v>
      </c>
      <c r="AJ60">
        <f t="shared" si="53"/>
        <v>0.10256410256410256</v>
      </c>
      <c r="AK60">
        <f t="shared" si="53"/>
        <v>0.12903225806451613</v>
      </c>
      <c r="AL60">
        <f t="shared" si="53"/>
        <v>0.16666666666666666</v>
      </c>
      <c r="AM60">
        <f t="shared" si="53"/>
        <v>6.9767441860465115E-2</v>
      </c>
      <c r="AN60">
        <f t="shared" si="53"/>
        <v>0.2</v>
      </c>
      <c r="AO60">
        <f t="shared" si="53"/>
        <v>0.1276595744680851</v>
      </c>
      <c r="AP60">
        <f t="shared" si="53"/>
        <v>0.25</v>
      </c>
      <c r="AQ60">
        <f t="shared" si="53"/>
        <v>0.15789473684210525</v>
      </c>
      <c r="AR60">
        <f t="shared" si="53"/>
        <v>0.125</v>
      </c>
      <c r="AS60">
        <f t="shared" si="53"/>
        <v>0.14285714285714285</v>
      </c>
      <c r="AT60">
        <f t="shared" si="53"/>
        <v>0.23809523809523808</v>
      </c>
      <c r="AU60">
        <f t="shared" si="53"/>
        <v>0.125</v>
      </c>
      <c r="AV60">
        <f t="shared" si="53"/>
        <v>0.16666666666666666</v>
      </c>
      <c r="AW60">
        <f t="shared" si="53"/>
        <v>0.23076923076923078</v>
      </c>
      <c r="AX60">
        <f t="shared" si="53"/>
        <v>0.11764705882352941</v>
      </c>
      <c r="AY60">
        <f t="shared" si="53"/>
        <v>0.14285714285714285</v>
      </c>
      <c r="AZ60">
        <f t="shared" si="53"/>
        <v>0.10344827586206896</v>
      </c>
      <c r="BA60">
        <f t="shared" si="53"/>
        <v>0.13333333333333333</v>
      </c>
      <c r="BB60">
        <f>AVERAGE(AH60:BA60)</f>
        <v>0.1536198062316127</v>
      </c>
      <c r="BC60">
        <f t="shared" ref="BC60:BC69" si="54">_xlfn.STDEV.S(AH60:BA60)</f>
        <v>4.7344479419604062E-2</v>
      </c>
    </row>
    <row r="61" spans="3:58" x14ac:dyDescent="0.35">
      <c r="C61">
        <v>7</v>
      </c>
      <c r="D61" t="s">
        <v>24</v>
      </c>
      <c r="E61" t="s">
        <v>4</v>
      </c>
      <c r="F61">
        <v>0</v>
      </c>
      <c r="G61">
        <v>3</v>
      </c>
      <c r="H61">
        <v>6</v>
      </c>
      <c r="I61">
        <v>5</v>
      </c>
      <c r="J61">
        <v>3</v>
      </c>
      <c r="K61">
        <v>8</v>
      </c>
      <c r="L61">
        <v>1</v>
      </c>
      <c r="M61">
        <v>7</v>
      </c>
      <c r="N61">
        <v>1</v>
      </c>
      <c r="O61">
        <v>3</v>
      </c>
      <c r="P61">
        <v>4</v>
      </c>
      <c r="Q61">
        <v>3</v>
      </c>
      <c r="R61">
        <v>1</v>
      </c>
      <c r="S61">
        <v>3</v>
      </c>
      <c r="T61">
        <v>2</v>
      </c>
      <c r="U61">
        <v>1</v>
      </c>
      <c r="V61">
        <v>5</v>
      </c>
      <c r="W61">
        <v>6</v>
      </c>
      <c r="X61">
        <v>5</v>
      </c>
      <c r="Y61">
        <v>4</v>
      </c>
      <c r="Z61">
        <f t="shared" si="0"/>
        <v>3.55</v>
      </c>
      <c r="AA61">
        <f t="shared" si="1"/>
        <v>2.2118104039808419</v>
      </c>
      <c r="AB61">
        <f t="shared" si="2"/>
        <v>4.8921052631578945</v>
      </c>
      <c r="AC61">
        <f t="shared" si="3"/>
        <v>0.62304518421995547</v>
      </c>
      <c r="AF61" t="s">
        <v>24</v>
      </c>
      <c r="AG61" t="s">
        <v>15</v>
      </c>
      <c r="AH61">
        <f t="shared" ref="AH61:BA61" si="55">F60/F69</f>
        <v>0</v>
      </c>
      <c r="AI61">
        <f t="shared" si="55"/>
        <v>-4.1666666666666664E-2</v>
      </c>
      <c r="AJ61">
        <f t="shared" si="55"/>
        <v>0</v>
      </c>
      <c r="AK61">
        <f t="shared" si="55"/>
        <v>0</v>
      </c>
      <c r="AL61">
        <f t="shared" si="55"/>
        <v>0</v>
      </c>
      <c r="AM61">
        <f t="shared" si="55"/>
        <v>0</v>
      </c>
      <c r="AN61">
        <f t="shared" si="55"/>
        <v>-0.05</v>
      </c>
      <c r="AO61">
        <f t="shared" si="55"/>
        <v>0</v>
      </c>
      <c r="AP61">
        <f t="shared" si="55"/>
        <v>0</v>
      </c>
      <c r="AQ61">
        <f t="shared" si="55"/>
        <v>0</v>
      </c>
      <c r="AR61">
        <f t="shared" si="55"/>
        <v>0</v>
      </c>
      <c r="AS61">
        <f t="shared" si="55"/>
        <v>0</v>
      </c>
      <c r="AT61">
        <f t="shared" si="55"/>
        <v>0</v>
      </c>
      <c r="AU61">
        <f t="shared" si="55"/>
        <v>0</v>
      </c>
      <c r="AV61">
        <f t="shared" si="55"/>
        <v>0</v>
      </c>
      <c r="AW61">
        <f t="shared" si="55"/>
        <v>0</v>
      </c>
      <c r="AX61">
        <f t="shared" si="55"/>
        <v>0</v>
      </c>
      <c r="AY61">
        <f t="shared" si="55"/>
        <v>0</v>
      </c>
      <c r="AZ61">
        <f t="shared" si="55"/>
        <v>0</v>
      </c>
      <c r="BA61">
        <f t="shared" si="55"/>
        <v>0</v>
      </c>
      <c r="BB61">
        <f t="shared" ref="BB61:BB69" si="56">AVERAGE(AH61:BA61)</f>
        <v>-4.5833333333333334E-3</v>
      </c>
      <c r="BC61">
        <f t="shared" si="54"/>
        <v>1.4171825686017091E-2</v>
      </c>
    </row>
    <row r="62" spans="3:58" x14ac:dyDescent="0.35">
      <c r="D62" t="s">
        <v>24</v>
      </c>
      <c r="E62" t="s">
        <v>15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-1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-2</v>
      </c>
      <c r="Z62">
        <f t="shared" si="0"/>
        <v>-0.15</v>
      </c>
      <c r="AA62">
        <f t="shared" si="1"/>
        <v>0.48936048492959289</v>
      </c>
      <c r="AB62">
        <f t="shared" si="2"/>
        <v>0.23947368421052631</v>
      </c>
      <c r="AC62">
        <f t="shared" si="3"/>
        <v>-3.2624032328639525</v>
      </c>
      <c r="AF62" t="s">
        <v>24</v>
      </c>
      <c r="AG62" t="s">
        <v>4</v>
      </c>
      <c r="AH62">
        <f t="shared" ref="AH62:BA62" si="57">F61/F69</f>
        <v>0</v>
      </c>
      <c r="AI62">
        <f t="shared" si="57"/>
        <v>0.125</v>
      </c>
      <c r="AJ62">
        <f t="shared" si="57"/>
        <v>0.15384615384615385</v>
      </c>
      <c r="AK62">
        <f t="shared" si="57"/>
        <v>0.16129032258064516</v>
      </c>
      <c r="AL62">
        <f t="shared" si="57"/>
        <v>0.16666666666666666</v>
      </c>
      <c r="AM62">
        <f t="shared" si="57"/>
        <v>0.18604651162790697</v>
      </c>
      <c r="AN62">
        <f t="shared" si="57"/>
        <v>0.05</v>
      </c>
      <c r="AO62">
        <f t="shared" si="57"/>
        <v>0.14893617021276595</v>
      </c>
      <c r="AP62">
        <f t="shared" si="57"/>
        <v>6.25E-2</v>
      </c>
      <c r="AQ62">
        <f t="shared" si="57"/>
        <v>0.15789473684210525</v>
      </c>
      <c r="AR62">
        <f t="shared" si="57"/>
        <v>0.16666666666666666</v>
      </c>
      <c r="AS62">
        <f t="shared" si="57"/>
        <v>0.10714285714285714</v>
      </c>
      <c r="AT62">
        <f t="shared" si="57"/>
        <v>4.7619047619047616E-2</v>
      </c>
      <c r="AU62">
        <f t="shared" si="57"/>
        <v>0.125</v>
      </c>
      <c r="AV62">
        <f t="shared" si="57"/>
        <v>8.3333333333333329E-2</v>
      </c>
      <c r="AW62">
        <f t="shared" si="57"/>
        <v>7.6923076923076927E-2</v>
      </c>
      <c r="AX62">
        <f t="shared" si="57"/>
        <v>0.14705882352941177</v>
      </c>
      <c r="AY62">
        <f t="shared" si="57"/>
        <v>0.14285714285714285</v>
      </c>
      <c r="AZ62">
        <f t="shared" si="57"/>
        <v>0.17241379310344829</v>
      </c>
      <c r="BA62">
        <f t="shared" si="57"/>
        <v>8.8888888888888892E-2</v>
      </c>
      <c r="BB62">
        <f t="shared" si="56"/>
        <v>0.11850420959200587</v>
      </c>
      <c r="BC62">
        <f t="shared" si="54"/>
        <v>5.1312805090815629E-2</v>
      </c>
    </row>
    <row r="63" spans="3:58" x14ac:dyDescent="0.35">
      <c r="C63">
        <v>6</v>
      </c>
      <c r="D63" t="s">
        <v>24</v>
      </c>
      <c r="E63" t="s">
        <v>5</v>
      </c>
      <c r="F63">
        <v>2</v>
      </c>
      <c r="G63">
        <v>3</v>
      </c>
      <c r="H63">
        <v>5</v>
      </c>
      <c r="I63">
        <v>4</v>
      </c>
      <c r="J63">
        <v>1</v>
      </c>
      <c r="K63">
        <v>4</v>
      </c>
      <c r="L63">
        <v>3</v>
      </c>
      <c r="M63">
        <v>3</v>
      </c>
      <c r="N63">
        <v>3</v>
      </c>
      <c r="O63">
        <v>3</v>
      </c>
      <c r="P63">
        <v>1</v>
      </c>
      <c r="Q63">
        <v>4</v>
      </c>
      <c r="R63">
        <v>3</v>
      </c>
      <c r="S63">
        <v>2</v>
      </c>
      <c r="T63">
        <v>3</v>
      </c>
      <c r="U63">
        <v>1</v>
      </c>
      <c r="V63">
        <v>4</v>
      </c>
      <c r="W63">
        <v>6</v>
      </c>
      <c r="X63">
        <v>4</v>
      </c>
      <c r="Y63">
        <v>5</v>
      </c>
      <c r="Z63">
        <f t="shared" si="0"/>
        <v>3.2</v>
      </c>
      <c r="AA63">
        <f t="shared" si="1"/>
        <v>1.3611140947574409</v>
      </c>
      <c r="AB63">
        <f t="shared" si="2"/>
        <v>1.8526315789473677</v>
      </c>
      <c r="AC63">
        <f t="shared" si="3"/>
        <v>0.42534815461170028</v>
      </c>
      <c r="AF63" t="s">
        <v>24</v>
      </c>
      <c r="AG63" t="s">
        <v>15</v>
      </c>
      <c r="AH63">
        <f t="shared" ref="AH63:BA63" si="58">F62/F69</f>
        <v>0</v>
      </c>
      <c r="AI63">
        <f t="shared" si="58"/>
        <v>0</v>
      </c>
      <c r="AJ63">
        <f t="shared" si="58"/>
        <v>0</v>
      </c>
      <c r="AK63">
        <f t="shared" si="58"/>
        <v>0</v>
      </c>
      <c r="AL63">
        <f t="shared" si="58"/>
        <v>0</v>
      </c>
      <c r="AM63">
        <f t="shared" si="58"/>
        <v>0</v>
      </c>
      <c r="AN63">
        <f t="shared" si="58"/>
        <v>0</v>
      </c>
      <c r="AO63">
        <f t="shared" si="58"/>
        <v>0</v>
      </c>
      <c r="AP63">
        <f t="shared" si="58"/>
        <v>0</v>
      </c>
      <c r="AQ63">
        <f t="shared" si="58"/>
        <v>0</v>
      </c>
      <c r="AR63">
        <f t="shared" si="58"/>
        <v>0</v>
      </c>
      <c r="AS63">
        <f t="shared" si="58"/>
        <v>-3.5714285714285712E-2</v>
      </c>
      <c r="AT63">
        <f t="shared" si="58"/>
        <v>0</v>
      </c>
      <c r="AU63">
        <f t="shared" si="58"/>
        <v>0</v>
      </c>
      <c r="AV63">
        <f t="shared" si="58"/>
        <v>0</v>
      </c>
      <c r="AW63">
        <f t="shared" si="58"/>
        <v>0</v>
      </c>
      <c r="AX63">
        <f t="shared" si="58"/>
        <v>0</v>
      </c>
      <c r="AY63">
        <f t="shared" si="58"/>
        <v>0</v>
      </c>
      <c r="AZ63">
        <f t="shared" si="58"/>
        <v>0</v>
      </c>
      <c r="BA63">
        <f t="shared" si="58"/>
        <v>-4.4444444444444446E-2</v>
      </c>
      <c r="BB63">
        <f t="shared" si="56"/>
        <v>-4.0079365079365072E-3</v>
      </c>
      <c r="BC63">
        <f t="shared" si="54"/>
        <v>1.2417194667972005E-2</v>
      </c>
    </row>
    <row r="64" spans="3:58" x14ac:dyDescent="0.35">
      <c r="D64" t="s">
        <v>24</v>
      </c>
      <c r="E64" t="s">
        <v>15</v>
      </c>
      <c r="F64">
        <v>-1</v>
      </c>
      <c r="G64">
        <v>0</v>
      </c>
      <c r="H64">
        <v>-1</v>
      </c>
      <c r="I64">
        <v>0</v>
      </c>
      <c r="J64">
        <v>-1</v>
      </c>
      <c r="K64">
        <v>-1</v>
      </c>
      <c r="L64">
        <v>0</v>
      </c>
      <c r="M64">
        <v>-5</v>
      </c>
      <c r="N64">
        <v>0</v>
      </c>
      <c r="O64">
        <v>0</v>
      </c>
      <c r="P64">
        <v>-1</v>
      </c>
      <c r="Q64">
        <v>0</v>
      </c>
      <c r="R64">
        <v>0</v>
      </c>
      <c r="S64">
        <v>-2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f t="shared" si="0"/>
        <v>-0.6</v>
      </c>
      <c r="AA64">
        <f t="shared" si="1"/>
        <v>1.1876558069531229</v>
      </c>
      <c r="AB64">
        <f t="shared" si="2"/>
        <v>1.4105263157894736</v>
      </c>
      <c r="AC64">
        <f t="shared" si="3"/>
        <v>-1.9794263449218716</v>
      </c>
      <c r="AF64" t="s">
        <v>24</v>
      </c>
      <c r="AG64" t="s">
        <v>5</v>
      </c>
      <c r="AH64">
        <f t="shared" ref="AH64:BA64" si="59">F63/F69</f>
        <v>0.11764705882352941</v>
      </c>
      <c r="AI64">
        <f t="shared" si="59"/>
        <v>0.125</v>
      </c>
      <c r="AJ64">
        <f t="shared" si="59"/>
        <v>0.12820512820512819</v>
      </c>
      <c r="AK64">
        <f t="shared" si="59"/>
        <v>0.12903225806451613</v>
      </c>
      <c r="AL64">
        <f t="shared" si="59"/>
        <v>5.5555555555555552E-2</v>
      </c>
      <c r="AM64">
        <f t="shared" si="59"/>
        <v>9.3023255813953487E-2</v>
      </c>
      <c r="AN64">
        <f t="shared" si="59"/>
        <v>0.15</v>
      </c>
      <c r="AO64">
        <f t="shared" si="59"/>
        <v>6.3829787234042548E-2</v>
      </c>
      <c r="AP64">
        <f t="shared" si="59"/>
        <v>0.1875</v>
      </c>
      <c r="AQ64">
        <f t="shared" si="59"/>
        <v>0.15789473684210525</v>
      </c>
      <c r="AR64">
        <f t="shared" si="59"/>
        <v>4.1666666666666664E-2</v>
      </c>
      <c r="AS64">
        <f t="shared" si="59"/>
        <v>0.14285714285714285</v>
      </c>
      <c r="AT64">
        <f t="shared" si="59"/>
        <v>0.14285714285714285</v>
      </c>
      <c r="AU64">
        <f t="shared" si="59"/>
        <v>8.3333333333333329E-2</v>
      </c>
      <c r="AV64">
        <f t="shared" si="59"/>
        <v>0.125</v>
      </c>
      <c r="AW64">
        <f t="shared" si="59"/>
        <v>7.6923076923076927E-2</v>
      </c>
      <c r="AX64">
        <f t="shared" si="59"/>
        <v>0.11764705882352941</v>
      </c>
      <c r="AY64">
        <f t="shared" si="59"/>
        <v>0.14285714285714285</v>
      </c>
      <c r="AZ64">
        <f t="shared" si="59"/>
        <v>0.13793103448275862</v>
      </c>
      <c r="BA64">
        <f t="shared" si="59"/>
        <v>0.1111111111111111</v>
      </c>
      <c r="BB64">
        <f t="shared" si="56"/>
        <v>0.11649357452253677</v>
      </c>
      <c r="BC64">
        <f t="shared" si="54"/>
        <v>3.7131573495605329E-2</v>
      </c>
    </row>
    <row r="65" spans="3:55" x14ac:dyDescent="0.35">
      <c r="C65">
        <v>4</v>
      </c>
      <c r="D65" t="s">
        <v>24</v>
      </c>
      <c r="E65" t="s">
        <v>6</v>
      </c>
      <c r="F65">
        <v>0</v>
      </c>
      <c r="G65">
        <v>0</v>
      </c>
      <c r="H65">
        <v>3</v>
      </c>
      <c r="I65">
        <v>1</v>
      </c>
      <c r="J65">
        <v>0</v>
      </c>
      <c r="K65">
        <v>2</v>
      </c>
      <c r="L65">
        <v>1</v>
      </c>
      <c r="M65">
        <v>2</v>
      </c>
      <c r="N65">
        <v>0</v>
      </c>
      <c r="O65">
        <v>1</v>
      </c>
      <c r="P65">
        <v>0</v>
      </c>
      <c r="Q65">
        <v>2</v>
      </c>
      <c r="R65">
        <v>1</v>
      </c>
      <c r="S65">
        <v>3</v>
      </c>
      <c r="T65">
        <v>1</v>
      </c>
      <c r="U65">
        <v>1</v>
      </c>
      <c r="V65">
        <v>1</v>
      </c>
      <c r="W65">
        <v>4</v>
      </c>
      <c r="X65">
        <v>2</v>
      </c>
      <c r="Y65">
        <v>6</v>
      </c>
      <c r="Z65">
        <f t="shared" si="0"/>
        <v>1.55</v>
      </c>
      <c r="AA65">
        <f t="shared" si="1"/>
        <v>1.5381123085406381</v>
      </c>
      <c r="AB65">
        <f t="shared" si="2"/>
        <v>2.3657894736842109</v>
      </c>
      <c r="AC65">
        <f t="shared" si="3"/>
        <v>0.99233052163912128</v>
      </c>
      <c r="AF65" t="s">
        <v>24</v>
      </c>
      <c r="AG65" t="s">
        <v>15</v>
      </c>
      <c r="AH65">
        <f t="shared" ref="AH65:BA65" si="60">F64/F69</f>
        <v>-5.8823529411764705E-2</v>
      </c>
      <c r="AI65">
        <f t="shared" si="60"/>
        <v>0</v>
      </c>
      <c r="AJ65">
        <f t="shared" si="60"/>
        <v>-2.564102564102564E-2</v>
      </c>
      <c r="AK65">
        <f t="shared" si="60"/>
        <v>0</v>
      </c>
      <c r="AL65">
        <f t="shared" si="60"/>
        <v>-5.5555555555555552E-2</v>
      </c>
      <c r="AM65">
        <f t="shared" si="60"/>
        <v>-2.3255813953488372E-2</v>
      </c>
      <c r="AN65">
        <f t="shared" si="60"/>
        <v>0</v>
      </c>
      <c r="AO65">
        <f t="shared" si="60"/>
        <v>-0.10638297872340426</v>
      </c>
      <c r="AP65">
        <f t="shared" si="60"/>
        <v>0</v>
      </c>
      <c r="AQ65">
        <f t="shared" si="60"/>
        <v>0</v>
      </c>
      <c r="AR65">
        <f t="shared" si="60"/>
        <v>-4.1666666666666664E-2</v>
      </c>
      <c r="AS65">
        <f t="shared" si="60"/>
        <v>0</v>
      </c>
      <c r="AT65">
        <f t="shared" si="60"/>
        <v>0</v>
      </c>
      <c r="AU65">
        <f t="shared" si="60"/>
        <v>-8.3333333333333329E-2</v>
      </c>
      <c r="AV65">
        <f t="shared" si="60"/>
        <v>0</v>
      </c>
      <c r="AW65">
        <f t="shared" si="60"/>
        <v>0</v>
      </c>
      <c r="AX65">
        <f t="shared" si="60"/>
        <v>0</v>
      </c>
      <c r="AY65">
        <f t="shared" si="60"/>
        <v>0</v>
      </c>
      <c r="AZ65">
        <f t="shared" si="60"/>
        <v>0</v>
      </c>
      <c r="BA65">
        <f t="shared" si="60"/>
        <v>0</v>
      </c>
      <c r="BB65">
        <f t="shared" si="56"/>
        <v>-1.9732945164261925E-2</v>
      </c>
      <c r="BC65">
        <f t="shared" si="54"/>
        <v>3.2407791188483512E-2</v>
      </c>
    </row>
    <row r="66" spans="3:55" x14ac:dyDescent="0.35">
      <c r="D66" t="s">
        <v>24</v>
      </c>
      <c r="E66" t="s">
        <v>15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-1</v>
      </c>
      <c r="X66">
        <v>0</v>
      </c>
      <c r="Y66">
        <v>0</v>
      </c>
      <c r="Z66">
        <f t="shared" si="0"/>
        <v>-0.05</v>
      </c>
      <c r="AA66">
        <f t="shared" si="1"/>
        <v>0.22360679774997896</v>
      </c>
      <c r="AB66">
        <f t="shared" si="2"/>
        <v>4.9999999999999996E-2</v>
      </c>
      <c r="AC66">
        <f t="shared" si="3"/>
        <v>-4.4721359549995787</v>
      </c>
      <c r="AF66" t="s">
        <v>24</v>
      </c>
      <c r="AG66" t="s">
        <v>6</v>
      </c>
      <c r="AH66">
        <f t="shared" ref="AH66:BA66" si="61">F65/F69</f>
        <v>0</v>
      </c>
      <c r="AI66">
        <f t="shared" si="61"/>
        <v>0</v>
      </c>
      <c r="AJ66">
        <f t="shared" si="61"/>
        <v>7.6923076923076927E-2</v>
      </c>
      <c r="AK66">
        <f t="shared" si="61"/>
        <v>3.2258064516129031E-2</v>
      </c>
      <c r="AL66">
        <f t="shared" si="61"/>
        <v>0</v>
      </c>
      <c r="AM66">
        <f t="shared" si="61"/>
        <v>4.6511627906976744E-2</v>
      </c>
      <c r="AN66">
        <f t="shared" si="61"/>
        <v>0.05</v>
      </c>
      <c r="AO66">
        <f t="shared" si="61"/>
        <v>4.2553191489361701E-2</v>
      </c>
      <c r="AP66">
        <f t="shared" si="61"/>
        <v>0</v>
      </c>
      <c r="AQ66">
        <f t="shared" si="61"/>
        <v>5.2631578947368418E-2</v>
      </c>
      <c r="AR66">
        <f t="shared" si="61"/>
        <v>0</v>
      </c>
      <c r="AS66">
        <f t="shared" si="61"/>
        <v>7.1428571428571425E-2</v>
      </c>
      <c r="AT66">
        <f t="shared" si="61"/>
        <v>4.7619047619047616E-2</v>
      </c>
      <c r="AU66">
        <f t="shared" si="61"/>
        <v>0.125</v>
      </c>
      <c r="AV66">
        <f t="shared" si="61"/>
        <v>4.1666666666666664E-2</v>
      </c>
      <c r="AW66">
        <f t="shared" si="61"/>
        <v>7.6923076923076927E-2</v>
      </c>
      <c r="AX66">
        <f t="shared" si="61"/>
        <v>2.9411764705882353E-2</v>
      </c>
      <c r="AY66">
        <f t="shared" si="61"/>
        <v>9.5238095238095233E-2</v>
      </c>
      <c r="AZ66">
        <f t="shared" si="61"/>
        <v>6.8965517241379309E-2</v>
      </c>
      <c r="BA66">
        <f t="shared" si="61"/>
        <v>0.13333333333333333</v>
      </c>
      <c r="BB66">
        <f t="shared" si="56"/>
        <v>4.9523180646948287E-2</v>
      </c>
      <c r="BC66">
        <f t="shared" si="54"/>
        <v>3.9913244880915827E-2</v>
      </c>
    </row>
    <row r="67" spans="3:55" x14ac:dyDescent="0.35">
      <c r="C67">
        <v>6</v>
      </c>
      <c r="D67" t="s">
        <v>24</v>
      </c>
      <c r="E67" t="s">
        <v>7</v>
      </c>
      <c r="F67">
        <v>0</v>
      </c>
      <c r="G67">
        <v>0</v>
      </c>
      <c r="H67">
        <v>3</v>
      </c>
      <c r="I67">
        <v>3</v>
      </c>
      <c r="J67">
        <v>1</v>
      </c>
      <c r="K67">
        <v>4</v>
      </c>
      <c r="L67">
        <v>3</v>
      </c>
      <c r="M67">
        <v>3</v>
      </c>
      <c r="N67">
        <v>0</v>
      </c>
      <c r="O67">
        <v>2</v>
      </c>
      <c r="P67">
        <v>3</v>
      </c>
      <c r="Q67">
        <v>3</v>
      </c>
      <c r="R67">
        <v>2</v>
      </c>
      <c r="S67">
        <v>0</v>
      </c>
      <c r="T67">
        <v>2</v>
      </c>
      <c r="U67">
        <v>1</v>
      </c>
      <c r="V67">
        <v>4</v>
      </c>
      <c r="W67">
        <v>5</v>
      </c>
      <c r="X67">
        <v>2</v>
      </c>
      <c r="Y67">
        <v>2</v>
      </c>
      <c r="Z67">
        <f t="shared" si="0"/>
        <v>2.15</v>
      </c>
      <c r="AA67">
        <f t="shared" si="1"/>
        <v>1.4608937423083819</v>
      </c>
      <c r="AB67">
        <f t="shared" si="2"/>
        <v>2.1342105263157891</v>
      </c>
      <c r="AC67">
        <f t="shared" si="3"/>
        <v>0.67948546153878231</v>
      </c>
      <c r="AF67" t="s">
        <v>24</v>
      </c>
      <c r="AG67" t="s">
        <v>15</v>
      </c>
      <c r="AH67">
        <f t="shared" ref="AH67:BA67" si="62">F66/F69</f>
        <v>0</v>
      </c>
      <c r="AI67">
        <f t="shared" si="62"/>
        <v>0</v>
      </c>
      <c r="AJ67">
        <f t="shared" si="62"/>
        <v>0</v>
      </c>
      <c r="AK67">
        <f t="shared" si="62"/>
        <v>0</v>
      </c>
      <c r="AL67">
        <f t="shared" si="62"/>
        <v>0</v>
      </c>
      <c r="AM67">
        <f t="shared" si="62"/>
        <v>0</v>
      </c>
      <c r="AN67">
        <f t="shared" si="62"/>
        <v>0</v>
      </c>
      <c r="AO67">
        <f t="shared" si="62"/>
        <v>0</v>
      </c>
      <c r="AP67">
        <f t="shared" si="62"/>
        <v>0</v>
      </c>
      <c r="AQ67">
        <f t="shared" si="62"/>
        <v>0</v>
      </c>
      <c r="AR67">
        <f t="shared" si="62"/>
        <v>0</v>
      </c>
      <c r="AS67">
        <f t="shared" si="62"/>
        <v>0</v>
      </c>
      <c r="AT67">
        <f t="shared" si="62"/>
        <v>0</v>
      </c>
      <c r="AU67">
        <f t="shared" si="62"/>
        <v>0</v>
      </c>
      <c r="AV67">
        <f t="shared" si="62"/>
        <v>0</v>
      </c>
      <c r="AW67">
        <f t="shared" si="62"/>
        <v>0</v>
      </c>
      <c r="AX67">
        <f t="shared" si="62"/>
        <v>0</v>
      </c>
      <c r="AY67">
        <f t="shared" si="62"/>
        <v>-2.3809523809523808E-2</v>
      </c>
      <c r="AZ67">
        <f t="shared" si="62"/>
        <v>0</v>
      </c>
      <c r="BA67">
        <f t="shared" si="62"/>
        <v>0</v>
      </c>
      <c r="BB67">
        <f t="shared" si="56"/>
        <v>-1.1904761904761904E-3</v>
      </c>
      <c r="BC67">
        <f t="shared" si="54"/>
        <v>5.3239713749994987E-3</v>
      </c>
    </row>
    <row r="68" spans="3:55" x14ac:dyDescent="0.35">
      <c r="D68" t="s">
        <v>24</v>
      </c>
      <c r="E68" t="s">
        <v>15</v>
      </c>
      <c r="F68">
        <v>0</v>
      </c>
      <c r="G68">
        <v>-2</v>
      </c>
      <c r="H68">
        <v>0</v>
      </c>
      <c r="I68">
        <v>-1</v>
      </c>
      <c r="J68">
        <v>0</v>
      </c>
      <c r="K68">
        <v>-1</v>
      </c>
      <c r="L68">
        <v>0</v>
      </c>
      <c r="M68">
        <v>0</v>
      </c>
      <c r="N68">
        <v>-1</v>
      </c>
      <c r="O68">
        <v>-1</v>
      </c>
      <c r="P68">
        <v>0</v>
      </c>
      <c r="Q68">
        <v>0</v>
      </c>
      <c r="R68">
        <v>-1</v>
      </c>
      <c r="S68">
        <v>-1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f t="shared" si="0"/>
        <v>-0.4</v>
      </c>
      <c r="AA68">
        <f t="shared" si="1"/>
        <v>0.59824304161611885</v>
      </c>
      <c r="AB68">
        <f t="shared" si="2"/>
        <v>0.35789473684210527</v>
      </c>
      <c r="AC68">
        <f t="shared" si="3"/>
        <v>-1.495607604040297</v>
      </c>
      <c r="AF68" t="s">
        <v>24</v>
      </c>
      <c r="AG68" t="s">
        <v>7</v>
      </c>
      <c r="AH68">
        <f t="shared" ref="AH68:BA68" si="63">F67/F69</f>
        <v>0</v>
      </c>
      <c r="AI68">
        <f t="shared" si="63"/>
        <v>0</v>
      </c>
      <c r="AJ68">
        <f t="shared" si="63"/>
        <v>7.6923076923076927E-2</v>
      </c>
      <c r="AK68">
        <f t="shared" si="63"/>
        <v>9.6774193548387094E-2</v>
      </c>
      <c r="AL68">
        <f t="shared" si="63"/>
        <v>5.5555555555555552E-2</v>
      </c>
      <c r="AM68">
        <f t="shared" si="63"/>
        <v>9.3023255813953487E-2</v>
      </c>
      <c r="AN68">
        <f t="shared" si="63"/>
        <v>0.15</v>
      </c>
      <c r="AO68">
        <f t="shared" si="63"/>
        <v>6.3829787234042548E-2</v>
      </c>
      <c r="AP68">
        <f t="shared" si="63"/>
        <v>0</v>
      </c>
      <c r="AQ68">
        <f t="shared" si="63"/>
        <v>0.10526315789473684</v>
      </c>
      <c r="AR68">
        <f t="shared" si="63"/>
        <v>0.125</v>
      </c>
      <c r="AS68">
        <f t="shared" si="63"/>
        <v>0.10714285714285714</v>
      </c>
      <c r="AT68">
        <f t="shared" si="63"/>
        <v>9.5238095238095233E-2</v>
      </c>
      <c r="AU68">
        <f t="shared" si="63"/>
        <v>0</v>
      </c>
      <c r="AV68">
        <f t="shared" si="63"/>
        <v>8.3333333333333329E-2</v>
      </c>
      <c r="AW68">
        <f t="shared" si="63"/>
        <v>7.6923076923076927E-2</v>
      </c>
      <c r="AX68">
        <f t="shared" si="63"/>
        <v>0.11764705882352941</v>
      </c>
      <c r="AY68">
        <f t="shared" si="63"/>
        <v>0.11904761904761904</v>
      </c>
      <c r="AZ68">
        <f t="shared" si="63"/>
        <v>6.8965517241379309E-2</v>
      </c>
      <c r="BA68">
        <f t="shared" si="63"/>
        <v>4.4444444444444446E-2</v>
      </c>
      <c r="BB68">
        <f t="shared" si="56"/>
        <v>7.3955551458204358E-2</v>
      </c>
      <c r="BC68">
        <f t="shared" si="54"/>
        <v>4.534630524280292E-2</v>
      </c>
    </row>
    <row r="69" spans="3:55" x14ac:dyDescent="0.35">
      <c r="E69" t="s">
        <v>78</v>
      </c>
      <c r="F69">
        <v>17</v>
      </c>
      <c r="G69">
        <v>24</v>
      </c>
      <c r="H69">
        <v>39</v>
      </c>
      <c r="I69">
        <v>31</v>
      </c>
      <c r="J69">
        <v>18</v>
      </c>
      <c r="K69">
        <v>43</v>
      </c>
      <c r="L69">
        <v>20</v>
      </c>
      <c r="M69">
        <v>47</v>
      </c>
      <c r="N69">
        <v>16</v>
      </c>
      <c r="O69">
        <v>19</v>
      </c>
      <c r="P69">
        <v>24</v>
      </c>
      <c r="Q69">
        <v>28</v>
      </c>
      <c r="R69">
        <v>21</v>
      </c>
      <c r="S69">
        <v>24</v>
      </c>
      <c r="T69">
        <v>24</v>
      </c>
      <c r="U69">
        <v>13</v>
      </c>
      <c r="V69">
        <v>34</v>
      </c>
      <c r="W69">
        <v>42</v>
      </c>
      <c r="X69">
        <v>29</v>
      </c>
      <c r="Y69">
        <v>45</v>
      </c>
      <c r="Z69">
        <f t="shared" si="0"/>
        <v>27.9</v>
      </c>
      <c r="AA69">
        <f t="shared" si="1"/>
        <v>10.477544911305369</v>
      </c>
      <c r="AB69">
        <f t="shared" si="2"/>
        <v>109.77894736842102</v>
      </c>
      <c r="AC69">
        <f t="shared" si="3"/>
        <v>0.37553924413280892</v>
      </c>
      <c r="AF69" t="s">
        <v>24</v>
      </c>
      <c r="AG69" t="s">
        <v>15</v>
      </c>
      <c r="AH69">
        <f t="shared" ref="AH69:BA69" si="64">F68/F69</f>
        <v>0</v>
      </c>
      <c r="AI69">
        <f t="shared" si="64"/>
        <v>-8.3333333333333329E-2</v>
      </c>
      <c r="AJ69">
        <f t="shared" si="64"/>
        <v>0</v>
      </c>
      <c r="AK69">
        <f t="shared" si="64"/>
        <v>-3.2258064516129031E-2</v>
      </c>
      <c r="AL69">
        <f t="shared" si="64"/>
        <v>0</v>
      </c>
      <c r="AM69">
        <f t="shared" si="64"/>
        <v>-2.3255813953488372E-2</v>
      </c>
      <c r="AN69">
        <f t="shared" si="64"/>
        <v>0</v>
      </c>
      <c r="AO69">
        <f t="shared" si="64"/>
        <v>0</v>
      </c>
      <c r="AP69">
        <f t="shared" si="64"/>
        <v>-6.25E-2</v>
      </c>
      <c r="AQ69">
        <f t="shared" si="64"/>
        <v>-5.2631578947368418E-2</v>
      </c>
      <c r="AR69">
        <f t="shared" si="64"/>
        <v>0</v>
      </c>
      <c r="AS69">
        <f t="shared" si="64"/>
        <v>0</v>
      </c>
      <c r="AT69">
        <f t="shared" si="64"/>
        <v>-4.7619047619047616E-2</v>
      </c>
      <c r="AU69">
        <f t="shared" si="64"/>
        <v>-4.1666666666666664E-2</v>
      </c>
      <c r="AV69">
        <f t="shared" si="64"/>
        <v>0</v>
      </c>
      <c r="AW69">
        <f t="shared" si="64"/>
        <v>0</v>
      </c>
      <c r="AX69">
        <f t="shared" si="64"/>
        <v>0</v>
      </c>
      <c r="AY69">
        <f t="shared" si="64"/>
        <v>0</v>
      </c>
      <c r="AZ69">
        <f t="shared" si="64"/>
        <v>0</v>
      </c>
      <c r="BA69">
        <f t="shared" si="64"/>
        <v>0</v>
      </c>
      <c r="BB69">
        <f t="shared" si="56"/>
        <v>-1.7163225251801674E-2</v>
      </c>
      <c r="BC69">
        <f t="shared" si="54"/>
        <v>2.6471784325637335E-2</v>
      </c>
    </row>
    <row r="70" spans="3:55" x14ac:dyDescent="0.35">
      <c r="C70">
        <v>5</v>
      </c>
      <c r="D70" t="s">
        <v>24</v>
      </c>
      <c r="E70" t="s">
        <v>42</v>
      </c>
      <c r="F70">
        <v>2</v>
      </c>
      <c r="G70">
        <v>3</v>
      </c>
      <c r="H70">
        <v>4</v>
      </c>
      <c r="I70">
        <v>4</v>
      </c>
      <c r="J70">
        <v>2</v>
      </c>
      <c r="K70">
        <v>4</v>
      </c>
      <c r="L70">
        <v>3</v>
      </c>
      <c r="M70">
        <v>5</v>
      </c>
      <c r="N70">
        <v>2</v>
      </c>
      <c r="O70">
        <v>2</v>
      </c>
      <c r="P70">
        <v>2</v>
      </c>
      <c r="Q70">
        <v>4</v>
      </c>
      <c r="R70">
        <v>2</v>
      </c>
      <c r="S70">
        <v>3</v>
      </c>
      <c r="T70">
        <v>3</v>
      </c>
      <c r="U70">
        <v>2</v>
      </c>
      <c r="V70">
        <v>2</v>
      </c>
      <c r="W70">
        <v>4</v>
      </c>
      <c r="X70">
        <v>3</v>
      </c>
      <c r="Y70">
        <v>5</v>
      </c>
      <c r="Z70">
        <f t="shared" si="0"/>
        <v>3.05</v>
      </c>
      <c r="AA70">
        <f t="shared" si="1"/>
        <v>1.0500626547722607</v>
      </c>
      <c r="AB70">
        <f t="shared" si="2"/>
        <v>1.1026315789473677</v>
      </c>
      <c r="AC70">
        <f t="shared" si="3"/>
        <v>0.34428283763024942</v>
      </c>
    </row>
    <row r="71" spans="3:55" x14ac:dyDescent="0.35">
      <c r="D71" t="s">
        <v>24</v>
      </c>
      <c r="E71" t="s">
        <v>43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f t="shared" si="0"/>
        <v>0.1</v>
      </c>
      <c r="AA71">
        <f t="shared" si="1"/>
        <v>0.30779350562554625</v>
      </c>
      <c r="AB71">
        <f t="shared" si="2"/>
        <v>9.4736842105263161E-2</v>
      </c>
      <c r="AC71">
        <f t="shared" si="3"/>
        <v>3.0779350562554622</v>
      </c>
      <c r="AF71" t="s">
        <v>24</v>
      </c>
      <c r="AG71" t="s">
        <v>42</v>
      </c>
    </row>
    <row r="72" spans="3:55" x14ac:dyDescent="0.35">
      <c r="E72" t="s">
        <v>72</v>
      </c>
      <c r="AF72" t="s">
        <v>24</v>
      </c>
      <c r="AG72" t="s">
        <v>43</v>
      </c>
    </row>
    <row r="73" spans="3:55" x14ac:dyDescent="0.35">
      <c r="C73">
        <v>2</v>
      </c>
      <c r="D73" t="s">
        <v>24</v>
      </c>
      <c r="E73" t="s">
        <v>20</v>
      </c>
      <c r="F73">
        <v>2</v>
      </c>
      <c r="G73">
        <v>2</v>
      </c>
      <c r="H73">
        <v>3</v>
      </c>
      <c r="I73">
        <v>3</v>
      </c>
      <c r="J73">
        <v>3</v>
      </c>
      <c r="K73">
        <v>3</v>
      </c>
      <c r="L73">
        <v>2</v>
      </c>
      <c r="M73">
        <v>3</v>
      </c>
      <c r="N73">
        <v>3</v>
      </c>
      <c r="O73">
        <v>3</v>
      </c>
      <c r="P73">
        <v>3</v>
      </c>
      <c r="Q73">
        <v>3</v>
      </c>
      <c r="R73">
        <v>3</v>
      </c>
      <c r="S73">
        <v>3</v>
      </c>
      <c r="T73">
        <v>3</v>
      </c>
      <c r="U73">
        <v>3</v>
      </c>
      <c r="V73">
        <v>3</v>
      </c>
      <c r="W73">
        <v>3</v>
      </c>
      <c r="X73">
        <v>3</v>
      </c>
      <c r="Y73">
        <v>3</v>
      </c>
      <c r="Z73">
        <f t="shared" si="0"/>
        <v>2.85</v>
      </c>
      <c r="AA73">
        <f t="shared" ref="AA73:AA74" si="65">_xlfn.STDEV.S(F73:Y73)</f>
        <v>0.3663475485325241</v>
      </c>
      <c r="AB73">
        <f t="shared" ref="AB73:AB74" si="66">_xlfn.VAR.S(F73:Y73)</f>
        <v>0.13421052631579009</v>
      </c>
      <c r="AC73">
        <f t="shared" ref="AC73:AC74" si="67">AA73/Z73</f>
        <v>0.12854299948509618</v>
      </c>
      <c r="AG73" t="s">
        <v>72</v>
      </c>
    </row>
    <row r="74" spans="3:55" x14ac:dyDescent="0.35">
      <c r="C74">
        <v>2</v>
      </c>
      <c r="D74" t="s">
        <v>24</v>
      </c>
      <c r="E74" t="s">
        <v>21</v>
      </c>
      <c r="F74">
        <v>2</v>
      </c>
      <c r="G74">
        <v>2</v>
      </c>
      <c r="H74">
        <v>3</v>
      </c>
      <c r="I74">
        <v>2</v>
      </c>
      <c r="J74">
        <v>1</v>
      </c>
      <c r="K74">
        <v>3</v>
      </c>
      <c r="L74">
        <v>2</v>
      </c>
      <c r="M74">
        <v>2</v>
      </c>
      <c r="N74">
        <v>2</v>
      </c>
      <c r="O74">
        <v>2</v>
      </c>
      <c r="P74">
        <v>2</v>
      </c>
      <c r="Q74">
        <v>2</v>
      </c>
      <c r="R74">
        <v>2</v>
      </c>
      <c r="S74">
        <v>2</v>
      </c>
      <c r="T74">
        <v>2</v>
      </c>
      <c r="U74">
        <v>1</v>
      </c>
      <c r="V74">
        <v>3</v>
      </c>
      <c r="W74">
        <v>3</v>
      </c>
      <c r="X74">
        <v>2</v>
      </c>
      <c r="Y74">
        <v>3</v>
      </c>
      <c r="Z74">
        <f t="shared" si="0"/>
        <v>2.15</v>
      </c>
      <c r="AA74">
        <f t="shared" si="65"/>
        <v>0.58714294861239968</v>
      </c>
      <c r="AB74">
        <f t="shared" si="66"/>
        <v>0.34473684210526301</v>
      </c>
      <c r="AC74">
        <f t="shared" si="67"/>
        <v>0.27308974354065102</v>
      </c>
      <c r="AF74" t="s">
        <v>24</v>
      </c>
      <c r="AG74" t="s">
        <v>20</v>
      </c>
    </row>
    <row r="75" spans="3:55" x14ac:dyDescent="0.35">
      <c r="D75" t="s">
        <v>24</v>
      </c>
      <c r="E75" t="s">
        <v>22</v>
      </c>
      <c r="AF75" t="s">
        <v>24</v>
      </c>
      <c r="AG75" t="s">
        <v>21</v>
      </c>
    </row>
    <row r="76" spans="3:55" x14ac:dyDescent="0.35">
      <c r="AF76" t="s">
        <v>24</v>
      </c>
      <c r="AG76" t="s">
        <v>22</v>
      </c>
    </row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F76B4-4273-428C-934B-1C61FEA896E4}">
  <dimension ref="A2:AB75"/>
  <sheetViews>
    <sheetView tabSelected="1" zoomScale="40" workbookViewId="0">
      <selection activeCell="I5" sqref="H5:I5"/>
    </sheetView>
  </sheetViews>
  <sheetFormatPr baseColWidth="10" defaultRowHeight="14.5" x14ac:dyDescent="0.35"/>
  <sheetData>
    <row r="2" spans="1:28" x14ac:dyDescent="0.35">
      <c r="I2" t="s">
        <v>137</v>
      </c>
    </row>
    <row r="3" spans="1:28" x14ac:dyDescent="0.35">
      <c r="B3" t="s">
        <v>135</v>
      </c>
      <c r="J3">
        <v>3</v>
      </c>
      <c r="K3" t="s">
        <v>138</v>
      </c>
      <c r="O3" s="6" t="s">
        <v>139</v>
      </c>
    </row>
    <row r="4" spans="1:28" x14ac:dyDescent="0.35">
      <c r="J4">
        <v>2</v>
      </c>
      <c r="K4" t="s">
        <v>140</v>
      </c>
      <c r="M4" t="s">
        <v>144</v>
      </c>
    </row>
    <row r="5" spans="1:28" x14ac:dyDescent="0.35">
      <c r="A5" s="2"/>
      <c r="B5" s="5" t="s">
        <v>136</v>
      </c>
      <c r="C5" s="2"/>
      <c r="D5" s="2"/>
      <c r="E5" s="2"/>
      <c r="F5" s="2"/>
      <c r="G5" s="2"/>
      <c r="H5" s="2"/>
      <c r="I5" s="2"/>
      <c r="J5">
        <v>1</v>
      </c>
      <c r="K5" t="s">
        <v>141</v>
      </c>
      <c r="M5" t="s">
        <v>145</v>
      </c>
    </row>
    <row r="6" spans="1:28" x14ac:dyDescent="0.35">
      <c r="J6">
        <v>0</v>
      </c>
      <c r="K6" t="s">
        <v>142</v>
      </c>
      <c r="M6" t="s">
        <v>146</v>
      </c>
    </row>
    <row r="9" spans="1:28" x14ac:dyDescent="0.35">
      <c r="F9" t="s">
        <v>44</v>
      </c>
      <c r="G9" t="s">
        <v>45</v>
      </c>
      <c r="H9" t="s">
        <v>46</v>
      </c>
      <c r="I9" t="s">
        <v>47</v>
      </c>
      <c r="J9" t="s">
        <v>48</v>
      </c>
      <c r="K9" t="s">
        <v>49</v>
      </c>
      <c r="L9" t="s">
        <v>50</v>
      </c>
      <c r="M9" t="s">
        <v>51</v>
      </c>
      <c r="N9" t="s">
        <v>52</v>
      </c>
      <c r="O9" t="s">
        <v>53</v>
      </c>
      <c r="P9" t="s">
        <v>54</v>
      </c>
      <c r="Q9" t="s">
        <v>55</v>
      </c>
      <c r="R9" t="s">
        <v>56</v>
      </c>
      <c r="S9" t="s">
        <v>57</v>
      </c>
      <c r="T9" t="s">
        <v>58</v>
      </c>
      <c r="U9" t="s">
        <v>59</v>
      </c>
      <c r="V9" t="s">
        <v>60</v>
      </c>
      <c r="W9" t="s">
        <v>61</v>
      </c>
      <c r="X9" t="s">
        <v>62</v>
      </c>
      <c r="Y9" t="s">
        <v>63</v>
      </c>
      <c r="AA9" t="s">
        <v>73</v>
      </c>
      <c r="AB9" t="s">
        <v>130</v>
      </c>
    </row>
    <row r="10" spans="1:28" x14ac:dyDescent="0.35">
      <c r="D10" t="s">
        <v>18</v>
      </c>
      <c r="E10" t="s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5.4054054054054057E-2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AA10">
        <v>2.7027027027027029E-3</v>
      </c>
      <c r="AB10">
        <v>1.2086853932431297E-2</v>
      </c>
    </row>
    <row r="11" spans="1:28" x14ac:dyDescent="0.35">
      <c r="D11" t="s">
        <v>18</v>
      </c>
      <c r="E11" t="s">
        <v>14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-3.8461538461538464E-2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AA11">
        <v>-1.9230769230769232E-3</v>
      </c>
      <c r="AB11">
        <v>8.6002614519222684E-3</v>
      </c>
    </row>
    <row r="12" spans="1:28" x14ac:dyDescent="0.35">
      <c r="D12" t="s">
        <v>18</v>
      </c>
      <c r="E12" t="s">
        <v>4</v>
      </c>
      <c r="F12">
        <v>0</v>
      </c>
      <c r="G12">
        <v>0.15</v>
      </c>
      <c r="H12">
        <v>7.6923076923076927E-2</v>
      </c>
      <c r="I12">
        <v>0</v>
      </c>
      <c r="J12">
        <v>0.1</v>
      </c>
      <c r="K12">
        <v>9.7560975609756101E-2</v>
      </c>
      <c r="L12">
        <v>0</v>
      </c>
      <c r="M12">
        <v>3.8461538461538464E-2</v>
      </c>
      <c r="N12">
        <v>0.14285714285714285</v>
      </c>
      <c r="O12">
        <v>0.18181818181818182</v>
      </c>
      <c r="P12">
        <v>0.19444444444444445</v>
      </c>
      <c r="Q12">
        <v>0</v>
      </c>
      <c r="R12">
        <v>0</v>
      </c>
      <c r="S12">
        <v>0.1891891891891892</v>
      </c>
      <c r="T12">
        <v>8.6956521739130432E-2</v>
      </c>
      <c r="U12">
        <v>0</v>
      </c>
      <c r="V12">
        <v>0.18181818181818182</v>
      </c>
      <c r="W12">
        <v>0.11538461538461539</v>
      </c>
      <c r="X12">
        <v>9.7560975609756101E-2</v>
      </c>
      <c r="Y12">
        <v>0.05</v>
      </c>
      <c r="AA12">
        <v>8.514874219275069E-2</v>
      </c>
      <c r="AB12">
        <v>7.160809820944114E-2</v>
      </c>
    </row>
    <row r="13" spans="1:28" x14ac:dyDescent="0.35">
      <c r="D13" t="s">
        <v>18</v>
      </c>
      <c r="E13" t="s">
        <v>16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-2.7027027027027029E-2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AA13">
        <v>-1.3513513513513514E-3</v>
      </c>
      <c r="AB13">
        <v>6.0434269662156485E-3</v>
      </c>
    </row>
    <row r="14" spans="1:28" x14ac:dyDescent="0.35">
      <c r="D14" t="s">
        <v>18</v>
      </c>
      <c r="E14" t="s">
        <v>5</v>
      </c>
      <c r="F14">
        <v>0.11764705882352941</v>
      </c>
      <c r="G14">
        <v>0.1</v>
      </c>
      <c r="H14">
        <v>0.17948717948717949</v>
      </c>
      <c r="I14">
        <v>0.13333333333333333</v>
      </c>
      <c r="J14">
        <v>0.05</v>
      </c>
      <c r="K14">
        <v>0</v>
      </c>
      <c r="L14">
        <v>0.125</v>
      </c>
      <c r="M14">
        <v>3.8461538461538464E-2</v>
      </c>
      <c r="N14">
        <v>9.5238095238095233E-2</v>
      </c>
      <c r="O14">
        <v>9.0909090909090912E-2</v>
      </c>
      <c r="P14">
        <v>8.3333333333333329E-2</v>
      </c>
      <c r="Q14">
        <v>0.14814814814814814</v>
      </c>
      <c r="R14">
        <v>0.11764705882352941</v>
      </c>
      <c r="S14">
        <v>2.7027027027027029E-2</v>
      </c>
      <c r="T14">
        <v>0.17391304347826086</v>
      </c>
      <c r="U14">
        <v>0.22222222222222221</v>
      </c>
      <c r="V14">
        <v>9.0909090909090912E-2</v>
      </c>
      <c r="W14">
        <v>0.11538461538461539</v>
      </c>
      <c r="X14">
        <v>0.14634146341463414</v>
      </c>
      <c r="Y14">
        <v>0.1</v>
      </c>
      <c r="AA14">
        <v>0.10775011494968142</v>
      </c>
      <c r="AB14">
        <v>5.3634987474636242E-2</v>
      </c>
    </row>
    <row r="15" spans="1:28" x14ac:dyDescent="0.35">
      <c r="D15" t="s">
        <v>18</v>
      </c>
      <c r="E15" t="s">
        <v>66</v>
      </c>
      <c r="F15">
        <v>0</v>
      </c>
      <c r="G15">
        <v>-7.4999999999999997E-2</v>
      </c>
      <c r="H15">
        <v>0</v>
      </c>
      <c r="I15">
        <v>0</v>
      </c>
      <c r="J15">
        <v>-0.05</v>
      </c>
      <c r="K15">
        <v>-7.3170731707317069E-2</v>
      </c>
      <c r="L15">
        <v>0</v>
      </c>
      <c r="M15">
        <v>-7.6923076923076927E-2</v>
      </c>
      <c r="N15">
        <v>0</v>
      </c>
      <c r="O15">
        <v>-2.2727272727272728E-2</v>
      </c>
      <c r="P15">
        <v>-2.7777777777777776E-2</v>
      </c>
      <c r="Q15">
        <v>-3.7037037037037035E-2</v>
      </c>
      <c r="R15">
        <v>0</v>
      </c>
      <c r="S15">
        <v>-2.7027027027027029E-2</v>
      </c>
      <c r="T15">
        <v>0</v>
      </c>
      <c r="U15">
        <v>0</v>
      </c>
      <c r="V15">
        <v>-2.2727272727272728E-2</v>
      </c>
      <c r="W15">
        <v>0</v>
      </c>
      <c r="X15">
        <v>-4.878048780487805E-2</v>
      </c>
      <c r="Y15">
        <v>-0.05</v>
      </c>
      <c r="AA15">
        <v>-2.5558534186582965E-2</v>
      </c>
      <c r="AB15">
        <v>2.8207635611431622E-2</v>
      </c>
    </row>
    <row r="16" spans="1:28" x14ac:dyDescent="0.35">
      <c r="D16" t="s">
        <v>18</v>
      </c>
      <c r="E16" t="s">
        <v>6</v>
      </c>
      <c r="F16">
        <v>0</v>
      </c>
      <c r="G16">
        <v>0</v>
      </c>
      <c r="H16">
        <v>7.6923076923076927E-2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2.7027027027027029E-2</v>
      </c>
      <c r="T16">
        <v>4.3478260869565216E-2</v>
      </c>
      <c r="U16">
        <v>0</v>
      </c>
      <c r="V16">
        <v>0</v>
      </c>
      <c r="W16">
        <v>0</v>
      </c>
      <c r="X16">
        <v>0</v>
      </c>
      <c r="Y16">
        <v>0.1</v>
      </c>
      <c r="AA16">
        <v>1.2371418240983459E-2</v>
      </c>
      <c r="AB16">
        <v>2.8540773544277115E-2</v>
      </c>
    </row>
    <row r="17" spans="4:28" x14ac:dyDescent="0.35">
      <c r="D17" t="s">
        <v>18</v>
      </c>
      <c r="E17" t="s">
        <v>15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AA17">
        <v>0</v>
      </c>
      <c r="AB17">
        <v>0</v>
      </c>
    </row>
    <row r="18" spans="4:28" x14ac:dyDescent="0.35">
      <c r="D18" t="s">
        <v>18</v>
      </c>
      <c r="E18" t="s">
        <v>7</v>
      </c>
      <c r="F18">
        <v>5.8823529411764705E-2</v>
      </c>
      <c r="G18">
        <v>0.125</v>
      </c>
      <c r="H18">
        <v>7.6923076923076927E-2</v>
      </c>
      <c r="I18">
        <v>0</v>
      </c>
      <c r="J18">
        <v>0.1</v>
      </c>
      <c r="K18">
        <v>0.12195121951219512</v>
      </c>
      <c r="L18">
        <v>0.125</v>
      </c>
      <c r="M18">
        <v>3.8461538461538464E-2</v>
      </c>
      <c r="N18">
        <v>9.5238095238095233E-2</v>
      </c>
      <c r="O18">
        <v>6.8181818181818177E-2</v>
      </c>
      <c r="P18">
        <v>5.5555555555555552E-2</v>
      </c>
      <c r="Q18">
        <v>0.1111111111111111</v>
      </c>
      <c r="R18">
        <v>5.8823529411764705E-2</v>
      </c>
      <c r="S18">
        <v>8.1081081081081086E-2</v>
      </c>
      <c r="T18">
        <v>8.6956521739130432E-2</v>
      </c>
      <c r="U18">
        <v>0</v>
      </c>
      <c r="V18">
        <v>4.5454545454545456E-2</v>
      </c>
      <c r="W18">
        <v>3.8461538461538464E-2</v>
      </c>
      <c r="X18">
        <v>7.3170731707317069E-2</v>
      </c>
      <c r="Y18">
        <v>0</v>
      </c>
      <c r="AA18">
        <v>6.8009694612526636E-2</v>
      </c>
      <c r="AB18">
        <v>3.9814495858267594E-2</v>
      </c>
    </row>
    <row r="19" spans="4:28" x14ac:dyDescent="0.35">
      <c r="D19" t="s">
        <v>18</v>
      </c>
      <c r="E19" t="s">
        <v>15</v>
      </c>
      <c r="F19">
        <v>0</v>
      </c>
      <c r="G19">
        <v>-2.5000000000000001E-2</v>
      </c>
      <c r="H19">
        <v>0</v>
      </c>
      <c r="I19">
        <v>0</v>
      </c>
      <c r="J19">
        <v>-0.05</v>
      </c>
      <c r="K19">
        <v>-7.3170731707317069E-2</v>
      </c>
      <c r="L19">
        <v>0</v>
      </c>
      <c r="M19">
        <v>-3.8461538461538464E-2</v>
      </c>
      <c r="N19">
        <v>-9.5238095238095233E-2</v>
      </c>
      <c r="O19">
        <v>-2.2727272727272728E-2</v>
      </c>
      <c r="P19">
        <v>-2.7777777777777776E-2</v>
      </c>
      <c r="Q19">
        <v>0</v>
      </c>
      <c r="R19">
        <v>0</v>
      </c>
      <c r="S19">
        <v>-8.1081081081081086E-2</v>
      </c>
      <c r="T19">
        <v>0</v>
      </c>
      <c r="U19">
        <v>-5.5555555555555552E-2</v>
      </c>
      <c r="V19">
        <v>-2.2727272727272728E-2</v>
      </c>
      <c r="W19">
        <v>-0.15384615384615385</v>
      </c>
      <c r="X19">
        <v>-2.4390243902439025E-2</v>
      </c>
      <c r="Y19">
        <v>0</v>
      </c>
      <c r="AA19">
        <v>-3.3498786151225174E-2</v>
      </c>
      <c r="AB19">
        <v>4.1239936274538681E-2</v>
      </c>
    </row>
    <row r="20" spans="4:28" x14ac:dyDescent="0.35">
      <c r="D20" t="s">
        <v>18</v>
      </c>
      <c r="E20" t="s">
        <v>78</v>
      </c>
      <c r="F20">
        <v>17</v>
      </c>
      <c r="G20">
        <v>40</v>
      </c>
      <c r="H20">
        <v>39</v>
      </c>
      <c r="I20">
        <v>15</v>
      </c>
      <c r="J20">
        <v>20</v>
      </c>
      <c r="K20">
        <v>41</v>
      </c>
      <c r="L20">
        <v>8</v>
      </c>
      <c r="M20">
        <v>26</v>
      </c>
      <c r="N20">
        <v>42</v>
      </c>
      <c r="O20">
        <v>44</v>
      </c>
      <c r="P20">
        <v>36</v>
      </c>
      <c r="Q20">
        <v>27</v>
      </c>
      <c r="R20">
        <v>17</v>
      </c>
      <c r="S20">
        <v>37</v>
      </c>
      <c r="T20">
        <v>23</v>
      </c>
      <c r="U20">
        <v>18</v>
      </c>
      <c r="V20">
        <v>44</v>
      </c>
      <c r="W20">
        <v>26</v>
      </c>
      <c r="X20">
        <v>41</v>
      </c>
      <c r="Y20">
        <v>20</v>
      </c>
      <c r="AA20">
        <f>AVERAGE(F20:Y20)</f>
        <v>29.05</v>
      </c>
      <c r="AB20">
        <f>_xlfn.STDEV.S(F20:Y20)</f>
        <v>11.486720021054978</v>
      </c>
    </row>
    <row r="21" spans="4:28" x14ac:dyDescent="0.35">
      <c r="D21" t="s">
        <v>18</v>
      </c>
      <c r="E21" t="s">
        <v>42</v>
      </c>
      <c r="F21">
        <v>2</v>
      </c>
      <c r="G21">
        <v>5</v>
      </c>
      <c r="H21">
        <v>3</v>
      </c>
      <c r="I21">
        <v>2</v>
      </c>
      <c r="J21">
        <v>2</v>
      </c>
      <c r="K21">
        <v>2</v>
      </c>
      <c r="L21">
        <v>1</v>
      </c>
      <c r="M21">
        <v>2</v>
      </c>
      <c r="N21">
        <v>3</v>
      </c>
      <c r="O21">
        <v>4</v>
      </c>
      <c r="P21">
        <v>3</v>
      </c>
      <c r="Q21">
        <v>4</v>
      </c>
      <c r="R21">
        <v>1</v>
      </c>
      <c r="S21">
        <v>2</v>
      </c>
      <c r="T21">
        <v>3</v>
      </c>
      <c r="U21">
        <v>3</v>
      </c>
      <c r="V21">
        <v>4</v>
      </c>
      <c r="W21">
        <v>3</v>
      </c>
      <c r="X21">
        <v>5</v>
      </c>
      <c r="Y21">
        <v>4</v>
      </c>
      <c r="AA21">
        <f>AVERAGE(F21:Y21)</f>
        <v>2.9</v>
      </c>
      <c r="AB21">
        <f>_xlfn.STDEV.S(F21:Y21)</f>
        <v>1.1652874052533588</v>
      </c>
    </row>
    <row r="22" spans="4:28" x14ac:dyDescent="0.35">
      <c r="D22" t="s">
        <v>18</v>
      </c>
      <c r="E22" t="s">
        <v>137</v>
      </c>
      <c r="F22">
        <v>3</v>
      </c>
      <c r="G22">
        <v>3</v>
      </c>
      <c r="H22">
        <v>3</v>
      </c>
      <c r="I22">
        <v>3</v>
      </c>
      <c r="J22">
        <v>3</v>
      </c>
      <c r="K22" t="s">
        <v>143</v>
      </c>
      <c r="L22">
        <v>3</v>
      </c>
      <c r="M22">
        <v>3</v>
      </c>
      <c r="N22">
        <v>3</v>
      </c>
      <c r="O22">
        <v>3</v>
      </c>
      <c r="P22">
        <v>3</v>
      </c>
      <c r="Q22">
        <v>3</v>
      </c>
      <c r="R22" t="s">
        <v>143</v>
      </c>
      <c r="S22">
        <v>3</v>
      </c>
      <c r="T22">
        <v>3</v>
      </c>
      <c r="U22">
        <v>2</v>
      </c>
      <c r="V22" t="s">
        <v>147</v>
      </c>
      <c r="W22" t="s">
        <v>148</v>
      </c>
      <c r="X22">
        <v>3</v>
      </c>
      <c r="Y22" t="s">
        <v>149</v>
      </c>
      <c r="AA22">
        <f>AVERAGE(F22:Y22)</f>
        <v>2.9333333333333331</v>
      </c>
      <c r="AB22">
        <f>_xlfn.STDEV.S(F22:Y22)</f>
        <v>0.2581988897471611</v>
      </c>
    </row>
    <row r="23" spans="4:28" x14ac:dyDescent="0.35">
      <c r="D23" t="s">
        <v>18</v>
      </c>
      <c r="E23" t="s">
        <v>20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AA23">
        <f>AVERAGE(F23:Y23)</f>
        <v>1</v>
      </c>
      <c r="AB23">
        <f>_xlfn.STDEV.S(F23:Y23)</f>
        <v>0</v>
      </c>
    </row>
    <row r="24" spans="4:28" x14ac:dyDescent="0.35">
      <c r="D24" t="s">
        <v>18</v>
      </c>
      <c r="E24" t="s">
        <v>21</v>
      </c>
      <c r="F24">
        <v>1</v>
      </c>
      <c r="G24">
        <v>2</v>
      </c>
      <c r="H24">
        <v>2</v>
      </c>
      <c r="I24">
        <v>1</v>
      </c>
      <c r="J24">
        <v>1</v>
      </c>
      <c r="K24">
        <v>1</v>
      </c>
      <c r="L24">
        <v>1</v>
      </c>
      <c r="M24">
        <v>2</v>
      </c>
      <c r="N24">
        <v>2</v>
      </c>
      <c r="O24">
        <v>3</v>
      </c>
      <c r="P24">
        <v>2</v>
      </c>
      <c r="Q24">
        <v>1</v>
      </c>
      <c r="R24">
        <v>1</v>
      </c>
      <c r="S24">
        <v>1</v>
      </c>
      <c r="T24">
        <v>1</v>
      </c>
      <c r="U24">
        <v>1</v>
      </c>
      <c r="V24">
        <v>3</v>
      </c>
      <c r="W24">
        <v>1</v>
      </c>
      <c r="X24">
        <v>2</v>
      </c>
      <c r="Y24">
        <v>1</v>
      </c>
      <c r="AA24">
        <f>AVERAGE(F24:Y24)</f>
        <v>1.5</v>
      </c>
      <c r="AB24">
        <f>_xlfn.STDEV.S(F24:Y24)</f>
        <v>0.68824720161168529</v>
      </c>
    </row>
    <row r="27" spans="4:28" x14ac:dyDescent="0.35">
      <c r="D27" t="s">
        <v>19</v>
      </c>
      <c r="E27" t="s">
        <v>0</v>
      </c>
      <c r="F27">
        <v>0.2857142857142857</v>
      </c>
      <c r="G27">
        <v>0.2857142857142857</v>
      </c>
      <c r="H27">
        <v>9.3023255813953487E-2</v>
      </c>
      <c r="I27">
        <v>0.11363636363636363</v>
      </c>
      <c r="J27">
        <v>0.13636363636363635</v>
      </c>
      <c r="K27">
        <v>0.125</v>
      </c>
      <c r="L27">
        <v>0.2</v>
      </c>
      <c r="M27">
        <v>0.15384615384615385</v>
      </c>
      <c r="N27">
        <v>0.2</v>
      </c>
      <c r="O27">
        <v>0.21212121212121213</v>
      </c>
      <c r="P27">
        <v>0.15</v>
      </c>
      <c r="Q27">
        <v>0.125</v>
      </c>
      <c r="R27">
        <v>0.25</v>
      </c>
      <c r="S27">
        <v>0.12121212121212122</v>
      </c>
      <c r="T27">
        <v>0.19230769230769232</v>
      </c>
      <c r="U27">
        <v>0.30769230769230771</v>
      </c>
      <c r="V27">
        <v>0.15789473684210525</v>
      </c>
      <c r="W27">
        <v>0.16216216216216217</v>
      </c>
      <c r="X27">
        <v>0.12195121951219512</v>
      </c>
      <c r="Y27">
        <v>0.15789473684210525</v>
      </c>
      <c r="AA27">
        <v>0.17757670848902901</v>
      </c>
      <c r="AB27">
        <v>6.2849252443540671E-2</v>
      </c>
    </row>
    <row r="28" spans="4:28" x14ac:dyDescent="0.35">
      <c r="D28" t="s">
        <v>19</v>
      </c>
      <c r="E28" t="s">
        <v>15</v>
      </c>
      <c r="F28">
        <v>0</v>
      </c>
      <c r="G28">
        <v>0</v>
      </c>
      <c r="H28">
        <v>0</v>
      </c>
      <c r="I28">
        <v>-2.2727272727272728E-2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AA28">
        <v>-1.1363636363636363E-3</v>
      </c>
      <c r="AB28">
        <v>5.0819726761358857E-3</v>
      </c>
    </row>
    <row r="29" spans="4:28" x14ac:dyDescent="0.35">
      <c r="D29" t="s">
        <v>19</v>
      </c>
      <c r="E29" t="s">
        <v>4</v>
      </c>
      <c r="F29">
        <v>0</v>
      </c>
      <c r="G29">
        <v>0</v>
      </c>
      <c r="H29">
        <v>0.18604651162790697</v>
      </c>
      <c r="I29">
        <v>0.18181818181818182</v>
      </c>
      <c r="J29">
        <v>9.0909090909090912E-2</v>
      </c>
      <c r="K29">
        <v>0.16666666666666666</v>
      </c>
      <c r="L29">
        <v>0</v>
      </c>
      <c r="M29">
        <v>0.13461538461538461</v>
      </c>
      <c r="N29">
        <v>0.13333333333333333</v>
      </c>
      <c r="O29">
        <v>0.12121212121212122</v>
      </c>
      <c r="P29">
        <v>0.2</v>
      </c>
      <c r="Q29">
        <v>0.1875</v>
      </c>
      <c r="R29">
        <v>0</v>
      </c>
      <c r="S29">
        <v>0.18181818181818182</v>
      </c>
      <c r="T29">
        <v>7.6923076923076927E-2</v>
      </c>
      <c r="U29">
        <v>0</v>
      </c>
      <c r="V29">
        <v>0.13157894736842105</v>
      </c>
      <c r="W29">
        <v>0.16216216216216217</v>
      </c>
      <c r="X29">
        <v>0.14634146341463414</v>
      </c>
      <c r="Y29">
        <v>0.13157894736842105</v>
      </c>
      <c r="AA29">
        <v>0.11162520346187914</v>
      </c>
      <c r="AB29">
        <v>7.3115202456706135E-2</v>
      </c>
    </row>
    <row r="30" spans="4:28" x14ac:dyDescent="0.35">
      <c r="D30" t="s">
        <v>19</v>
      </c>
      <c r="E30" t="s">
        <v>15</v>
      </c>
      <c r="F30">
        <v>0</v>
      </c>
      <c r="G30">
        <v>0</v>
      </c>
      <c r="H30">
        <v>0</v>
      </c>
      <c r="I30">
        <v>0</v>
      </c>
      <c r="J30">
        <v>-9.0909090909090912E-2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-0.05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AA30">
        <v>-7.0454545454545466E-3</v>
      </c>
      <c r="AB30">
        <v>2.2678176635695192E-2</v>
      </c>
    </row>
    <row r="31" spans="4:28" x14ac:dyDescent="0.35">
      <c r="D31" t="s">
        <v>19</v>
      </c>
      <c r="E31" t="s">
        <v>5</v>
      </c>
      <c r="F31">
        <v>0.14285714285714285</v>
      </c>
      <c r="G31">
        <v>0.14285714285714285</v>
      </c>
      <c r="H31">
        <v>0.16279069767441862</v>
      </c>
      <c r="I31">
        <v>0.13636363636363635</v>
      </c>
      <c r="J31">
        <v>9.0909090909090912E-2</v>
      </c>
      <c r="K31">
        <v>8.3333333333333329E-2</v>
      </c>
      <c r="L31">
        <v>0.2</v>
      </c>
      <c r="M31">
        <v>3.8461538461538464E-2</v>
      </c>
      <c r="N31">
        <v>0.13333333333333333</v>
      </c>
      <c r="O31">
        <v>0.12121212121212122</v>
      </c>
      <c r="P31">
        <v>0.05</v>
      </c>
      <c r="Q31">
        <v>6.25E-2</v>
      </c>
      <c r="R31">
        <v>0.1</v>
      </c>
      <c r="S31">
        <v>9.0909090909090912E-2</v>
      </c>
      <c r="T31">
        <v>0.11538461538461539</v>
      </c>
      <c r="U31">
        <v>0.15384615384615385</v>
      </c>
      <c r="V31">
        <v>7.8947368421052627E-2</v>
      </c>
      <c r="W31">
        <v>0.16216216216216217</v>
      </c>
      <c r="X31">
        <v>0.12195121951219512</v>
      </c>
      <c r="Y31">
        <v>0.10526315789473684</v>
      </c>
      <c r="AA31">
        <v>0.11465409025658826</v>
      </c>
      <c r="AB31">
        <v>4.1227208473269827E-2</v>
      </c>
    </row>
    <row r="32" spans="4:28" x14ac:dyDescent="0.35">
      <c r="D32" t="s">
        <v>19</v>
      </c>
      <c r="E32" t="s">
        <v>15</v>
      </c>
      <c r="F32">
        <v>0</v>
      </c>
      <c r="G32">
        <v>0</v>
      </c>
      <c r="H32">
        <v>0</v>
      </c>
      <c r="I32">
        <v>0</v>
      </c>
      <c r="J32">
        <v>-4.5454545454545456E-2</v>
      </c>
      <c r="K32">
        <v>-4.1666666666666664E-2</v>
      </c>
      <c r="L32">
        <v>0</v>
      </c>
      <c r="M32">
        <v>-5.7692307692307696E-2</v>
      </c>
      <c r="N32">
        <v>0</v>
      </c>
      <c r="O32">
        <v>0</v>
      </c>
      <c r="P32">
        <v>-0.05</v>
      </c>
      <c r="Q32">
        <v>-6.25E-2</v>
      </c>
      <c r="R32">
        <v>0</v>
      </c>
      <c r="S32">
        <v>0</v>
      </c>
      <c r="T32">
        <v>0</v>
      </c>
      <c r="U32">
        <v>0</v>
      </c>
      <c r="V32">
        <v>-2.6315789473684209E-2</v>
      </c>
      <c r="W32">
        <v>0</v>
      </c>
      <c r="X32">
        <v>0</v>
      </c>
      <c r="Y32">
        <v>-2.6315789473684209E-2</v>
      </c>
      <c r="AA32">
        <v>-1.5497254938044408E-2</v>
      </c>
      <c r="AB32">
        <v>2.3077241602252638E-2</v>
      </c>
    </row>
    <row r="33" spans="4:28" x14ac:dyDescent="0.35">
      <c r="D33" t="s">
        <v>19</v>
      </c>
      <c r="E33" t="s">
        <v>6</v>
      </c>
      <c r="F33">
        <v>0</v>
      </c>
      <c r="G33">
        <v>0</v>
      </c>
      <c r="H33">
        <v>2.3255813953488372E-2</v>
      </c>
      <c r="I33">
        <v>0</v>
      </c>
      <c r="J33">
        <v>0</v>
      </c>
      <c r="K33">
        <v>0</v>
      </c>
      <c r="L33">
        <v>0</v>
      </c>
      <c r="M33">
        <v>3.8461538461538464E-2</v>
      </c>
      <c r="N33">
        <v>0.13333333333333333</v>
      </c>
      <c r="O33">
        <v>0</v>
      </c>
      <c r="P33">
        <v>0</v>
      </c>
      <c r="Q33">
        <v>3.125E-2</v>
      </c>
      <c r="R33">
        <v>0.05</v>
      </c>
      <c r="S33">
        <v>3.0303030303030304E-2</v>
      </c>
      <c r="T33">
        <v>3.8461538461538464E-2</v>
      </c>
      <c r="U33">
        <v>0</v>
      </c>
      <c r="V33">
        <v>2.6315789473684209E-2</v>
      </c>
      <c r="W33">
        <v>5.4054054054054057E-2</v>
      </c>
      <c r="X33">
        <v>4.878048780487805E-2</v>
      </c>
      <c r="Y33">
        <v>5.2631578947368418E-2</v>
      </c>
      <c r="AA33">
        <v>2.6342358239645682E-2</v>
      </c>
      <c r="AB33">
        <v>3.2893456846853499E-2</v>
      </c>
    </row>
    <row r="34" spans="4:28" x14ac:dyDescent="0.35">
      <c r="D34" t="s">
        <v>19</v>
      </c>
      <c r="E34" t="s">
        <v>15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AA34">
        <v>0</v>
      </c>
      <c r="AB34">
        <v>0</v>
      </c>
    </row>
    <row r="35" spans="4:28" x14ac:dyDescent="0.35">
      <c r="D35" t="s">
        <v>19</v>
      </c>
      <c r="E35" t="s">
        <v>7</v>
      </c>
      <c r="F35">
        <v>7.1428571428571425E-2</v>
      </c>
      <c r="G35">
        <v>0</v>
      </c>
      <c r="H35">
        <v>9.3023255813953487E-2</v>
      </c>
      <c r="I35">
        <v>0.13636363636363635</v>
      </c>
      <c r="J35">
        <v>9.0909090909090912E-2</v>
      </c>
      <c r="K35">
        <v>0.10416666666666667</v>
      </c>
      <c r="L35">
        <v>0.1</v>
      </c>
      <c r="M35">
        <v>7.6923076923076927E-2</v>
      </c>
      <c r="N35">
        <v>0</v>
      </c>
      <c r="O35">
        <v>9.0909090909090912E-2</v>
      </c>
      <c r="P35">
        <v>0.1</v>
      </c>
      <c r="Q35">
        <v>0.125</v>
      </c>
      <c r="R35">
        <v>0.05</v>
      </c>
      <c r="S35">
        <v>6.0606060606060608E-2</v>
      </c>
      <c r="T35">
        <v>7.6923076923076927E-2</v>
      </c>
      <c r="U35">
        <v>0.15384615384615385</v>
      </c>
      <c r="V35">
        <v>0.13157894736842105</v>
      </c>
      <c r="W35">
        <v>8.1081081081081086E-2</v>
      </c>
      <c r="X35">
        <v>7.3170731707317069E-2</v>
      </c>
      <c r="Y35">
        <v>2.6315789473684209E-2</v>
      </c>
      <c r="AA35">
        <v>8.2112261500994085E-2</v>
      </c>
      <c r="AB35">
        <v>4.1113609966535923E-2</v>
      </c>
    </row>
    <row r="36" spans="4:28" x14ac:dyDescent="0.35">
      <c r="D36" t="s">
        <v>19</v>
      </c>
      <c r="E36" t="s">
        <v>15</v>
      </c>
      <c r="F36">
        <v>0</v>
      </c>
      <c r="G36">
        <v>0</v>
      </c>
      <c r="H36">
        <v>0</v>
      </c>
      <c r="I36">
        <v>0</v>
      </c>
      <c r="J36">
        <v>0</v>
      </c>
      <c r="K36">
        <v>-4.1666666666666664E-2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-6.0606060606060608E-2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AA36">
        <v>-5.1136363636363636E-3</v>
      </c>
      <c r="AB36">
        <v>1.6036504665928396E-2</v>
      </c>
    </row>
    <row r="37" spans="4:28" x14ac:dyDescent="0.35">
      <c r="D37" t="s">
        <v>19</v>
      </c>
      <c r="E37" t="s">
        <v>78</v>
      </c>
      <c r="F37">
        <v>14</v>
      </c>
      <c r="G37">
        <v>14</v>
      </c>
      <c r="H37">
        <v>43</v>
      </c>
      <c r="I37">
        <v>44</v>
      </c>
      <c r="J37">
        <v>22</v>
      </c>
      <c r="K37">
        <v>48</v>
      </c>
      <c r="L37">
        <v>10</v>
      </c>
      <c r="M37">
        <v>52</v>
      </c>
      <c r="N37">
        <v>15</v>
      </c>
      <c r="O37">
        <v>33</v>
      </c>
      <c r="P37">
        <v>20</v>
      </c>
      <c r="Q37">
        <v>32</v>
      </c>
      <c r="R37">
        <v>20</v>
      </c>
      <c r="S37">
        <v>33</v>
      </c>
      <c r="T37">
        <v>26</v>
      </c>
      <c r="U37">
        <v>13</v>
      </c>
      <c r="V37">
        <v>38</v>
      </c>
      <c r="W37">
        <v>37</v>
      </c>
      <c r="X37">
        <v>41</v>
      </c>
      <c r="Y37">
        <v>38</v>
      </c>
      <c r="AA37">
        <f>AVERAGE(F37:Y37)</f>
        <v>29.65</v>
      </c>
      <c r="AB37">
        <f>_xlfn.STDEV.S(F37:Y37)</f>
        <v>12.97071600507121</v>
      </c>
    </row>
    <row r="38" spans="4:28" x14ac:dyDescent="0.35">
      <c r="D38" t="s">
        <v>19</v>
      </c>
      <c r="E38" t="s">
        <v>42</v>
      </c>
      <c r="F38">
        <v>2</v>
      </c>
      <c r="G38">
        <v>2</v>
      </c>
      <c r="H38">
        <v>5</v>
      </c>
      <c r="I38">
        <v>5</v>
      </c>
      <c r="J38">
        <v>2</v>
      </c>
      <c r="K38">
        <v>3</v>
      </c>
      <c r="L38">
        <v>2</v>
      </c>
      <c r="M38">
        <v>5</v>
      </c>
      <c r="N38">
        <v>2</v>
      </c>
      <c r="O38">
        <v>4</v>
      </c>
      <c r="P38">
        <v>2</v>
      </c>
      <c r="Q38">
        <v>4</v>
      </c>
      <c r="R38">
        <v>2</v>
      </c>
      <c r="S38">
        <v>2</v>
      </c>
      <c r="T38">
        <v>3</v>
      </c>
      <c r="U38">
        <v>2</v>
      </c>
      <c r="V38">
        <v>4</v>
      </c>
      <c r="W38">
        <v>5</v>
      </c>
      <c r="X38">
        <v>3</v>
      </c>
      <c r="Y38">
        <v>5</v>
      </c>
      <c r="AA38">
        <f>AVERAGE(F38:Y38)</f>
        <v>3.2</v>
      </c>
      <c r="AB38">
        <f>_xlfn.STDEV.S(F38:Y38)</f>
        <v>1.2814465510343747</v>
      </c>
    </row>
    <row r="39" spans="4:28" x14ac:dyDescent="0.35">
      <c r="D39" t="s">
        <v>19</v>
      </c>
      <c r="E39" t="s">
        <v>137</v>
      </c>
      <c r="F39">
        <v>3</v>
      </c>
      <c r="G39">
        <v>3</v>
      </c>
      <c r="H39">
        <v>3</v>
      </c>
      <c r="I39">
        <v>3</v>
      </c>
      <c r="J39">
        <v>3</v>
      </c>
      <c r="K39">
        <v>3</v>
      </c>
      <c r="L39">
        <v>3</v>
      </c>
      <c r="M39">
        <v>2</v>
      </c>
      <c r="N39">
        <v>3</v>
      </c>
      <c r="O39">
        <v>3</v>
      </c>
      <c r="P39">
        <v>3</v>
      </c>
      <c r="Q39">
        <v>3</v>
      </c>
      <c r="R39">
        <v>3</v>
      </c>
      <c r="S39">
        <v>3</v>
      </c>
      <c r="T39">
        <v>3</v>
      </c>
      <c r="U39">
        <v>3</v>
      </c>
      <c r="V39">
        <v>3</v>
      </c>
      <c r="W39">
        <v>3</v>
      </c>
      <c r="X39">
        <v>3</v>
      </c>
      <c r="Y39">
        <v>3</v>
      </c>
      <c r="AA39">
        <f>AVERAGE(F39:Y39)</f>
        <v>2.95</v>
      </c>
      <c r="AB39">
        <f>_xlfn.STDEV.S(F39:Y39)</f>
        <v>0.22360679774997891</v>
      </c>
    </row>
    <row r="40" spans="4:28" x14ac:dyDescent="0.35">
      <c r="D40" t="s">
        <v>19</v>
      </c>
      <c r="E40" t="s">
        <v>20</v>
      </c>
      <c r="F40">
        <v>3</v>
      </c>
      <c r="G40">
        <v>3</v>
      </c>
      <c r="H40">
        <v>3</v>
      </c>
      <c r="I40">
        <v>3</v>
      </c>
      <c r="J40">
        <v>3</v>
      </c>
      <c r="K40">
        <v>3</v>
      </c>
      <c r="L40">
        <v>2</v>
      </c>
      <c r="M40">
        <v>3</v>
      </c>
      <c r="N40">
        <v>3</v>
      </c>
      <c r="O40">
        <v>3</v>
      </c>
      <c r="P40">
        <v>3</v>
      </c>
      <c r="Q40">
        <v>3</v>
      </c>
      <c r="R40">
        <v>3</v>
      </c>
      <c r="S40">
        <v>3</v>
      </c>
      <c r="T40">
        <v>3</v>
      </c>
      <c r="U40">
        <v>3</v>
      </c>
      <c r="V40">
        <v>3</v>
      </c>
      <c r="W40">
        <v>3</v>
      </c>
      <c r="X40">
        <v>3</v>
      </c>
      <c r="Y40">
        <v>3</v>
      </c>
      <c r="AA40">
        <f>AVERAGE(F40:Y40)</f>
        <v>2.95</v>
      </c>
      <c r="AB40">
        <f>_xlfn.STDEV.S(F40:Y40)</f>
        <v>0.22360679774997891</v>
      </c>
    </row>
    <row r="41" spans="4:28" x14ac:dyDescent="0.35">
      <c r="D41" t="s">
        <v>19</v>
      </c>
      <c r="E41" t="s">
        <v>21</v>
      </c>
      <c r="F41">
        <v>2</v>
      </c>
      <c r="G41">
        <v>2</v>
      </c>
      <c r="H41">
        <v>3</v>
      </c>
      <c r="I41">
        <v>3</v>
      </c>
      <c r="J41">
        <v>2</v>
      </c>
      <c r="K41">
        <v>3</v>
      </c>
      <c r="L41">
        <v>1</v>
      </c>
      <c r="M41">
        <v>3</v>
      </c>
      <c r="N41">
        <v>2</v>
      </c>
      <c r="O41">
        <v>3</v>
      </c>
      <c r="P41">
        <v>2</v>
      </c>
      <c r="Q41">
        <v>2</v>
      </c>
      <c r="R41">
        <v>2</v>
      </c>
      <c r="S41">
        <v>3</v>
      </c>
      <c r="T41">
        <v>2</v>
      </c>
      <c r="U41">
        <v>2</v>
      </c>
      <c r="V41">
        <v>3</v>
      </c>
      <c r="W41">
        <v>3</v>
      </c>
      <c r="X41">
        <v>3</v>
      </c>
      <c r="Y41">
        <v>2</v>
      </c>
      <c r="AA41">
        <f>AVERAGE(F41:Y41)</f>
        <v>2.4</v>
      </c>
      <c r="AB41">
        <f>_xlfn.STDEV.S(F41:Y41)</f>
        <v>0.59824304161611863</v>
      </c>
    </row>
    <row r="44" spans="4:28" x14ac:dyDescent="0.35">
      <c r="D44" t="s">
        <v>23</v>
      </c>
      <c r="E44" t="s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7.6923076923076927E-2</v>
      </c>
      <c r="U44">
        <v>0</v>
      </c>
      <c r="V44">
        <v>0</v>
      </c>
      <c r="W44">
        <v>0</v>
      </c>
      <c r="X44">
        <v>0</v>
      </c>
      <c r="Y44">
        <v>0</v>
      </c>
      <c r="AA44">
        <v>3.8461538461538464E-3</v>
      </c>
      <c r="AB44">
        <v>1.7200522903844537E-2</v>
      </c>
    </row>
    <row r="45" spans="4:28" x14ac:dyDescent="0.35">
      <c r="D45" t="s">
        <v>23</v>
      </c>
      <c r="E45" t="s">
        <v>15</v>
      </c>
      <c r="F45">
        <v>0</v>
      </c>
      <c r="G45">
        <v>-0.04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-3.8461538461538464E-2</v>
      </c>
      <c r="U45">
        <v>0</v>
      </c>
      <c r="V45">
        <v>0</v>
      </c>
      <c r="W45">
        <v>0</v>
      </c>
      <c r="X45">
        <v>0</v>
      </c>
      <c r="Y45">
        <v>0</v>
      </c>
      <c r="AA45">
        <v>-3.9230769230769232E-3</v>
      </c>
      <c r="AB45">
        <v>1.2077554845643107E-2</v>
      </c>
    </row>
    <row r="46" spans="4:28" x14ac:dyDescent="0.35">
      <c r="D46" t="s">
        <v>23</v>
      </c>
      <c r="E46" t="s">
        <v>4</v>
      </c>
      <c r="F46">
        <v>0</v>
      </c>
      <c r="G46">
        <v>0.04</v>
      </c>
      <c r="H46">
        <v>0.1111111111111111</v>
      </c>
      <c r="I46">
        <v>0</v>
      </c>
      <c r="J46">
        <v>0.10526315789473684</v>
      </c>
      <c r="K46">
        <v>0.12903225806451613</v>
      </c>
      <c r="L46">
        <v>0</v>
      </c>
      <c r="M46">
        <v>0</v>
      </c>
      <c r="N46">
        <v>0</v>
      </c>
      <c r="O46">
        <v>0.1111111111111111</v>
      </c>
      <c r="P46">
        <v>0.13043478260869565</v>
      </c>
      <c r="Q46">
        <v>4.3478260869565216E-2</v>
      </c>
      <c r="R46">
        <v>0</v>
      </c>
      <c r="S46">
        <v>0.13793103448275862</v>
      </c>
      <c r="T46">
        <v>3.8461538461538464E-2</v>
      </c>
      <c r="U46">
        <v>0</v>
      </c>
      <c r="V46">
        <v>0.15384615384615385</v>
      </c>
      <c r="W46">
        <v>0.1</v>
      </c>
      <c r="X46">
        <v>7.6923076923076927E-2</v>
      </c>
      <c r="Y46">
        <v>2.9411764705882353E-2</v>
      </c>
      <c r="AA46">
        <v>6.03502125039573E-2</v>
      </c>
      <c r="AB46">
        <v>5.6678573732588854E-2</v>
      </c>
    </row>
    <row r="47" spans="4:28" x14ac:dyDescent="0.35">
      <c r="D47" t="s">
        <v>23</v>
      </c>
      <c r="E47" t="s">
        <v>15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AA47">
        <v>0</v>
      </c>
      <c r="AB47">
        <v>0</v>
      </c>
    </row>
    <row r="48" spans="4:28" x14ac:dyDescent="0.35">
      <c r="D48" t="s">
        <v>23</v>
      </c>
      <c r="E48" t="s">
        <v>5</v>
      </c>
      <c r="F48">
        <v>0.11764705882352941</v>
      </c>
      <c r="G48">
        <v>0.08</v>
      </c>
      <c r="H48">
        <v>0.1388888888888889</v>
      </c>
      <c r="I48">
        <v>0.15789473684210525</v>
      </c>
      <c r="J48">
        <v>5.2631578947368418E-2</v>
      </c>
      <c r="K48">
        <v>3.2258064516129031E-2</v>
      </c>
      <c r="L48">
        <v>0.2</v>
      </c>
      <c r="M48">
        <v>0.13333333333333333</v>
      </c>
      <c r="N48">
        <v>0</v>
      </c>
      <c r="O48">
        <v>0.1111111111111111</v>
      </c>
      <c r="P48">
        <v>8.6956521739130432E-2</v>
      </c>
      <c r="Q48">
        <v>0.17391304347826086</v>
      </c>
      <c r="R48">
        <v>5.5555555555555552E-2</v>
      </c>
      <c r="S48">
        <v>6.8965517241379309E-2</v>
      </c>
      <c r="T48">
        <v>0.11538461538461539</v>
      </c>
      <c r="U48">
        <v>0.22222222222222221</v>
      </c>
      <c r="V48">
        <v>7.6923076923076927E-2</v>
      </c>
      <c r="W48">
        <v>0.1</v>
      </c>
      <c r="X48">
        <v>0.15384615384615385</v>
      </c>
      <c r="Y48">
        <v>5.8823529411764705E-2</v>
      </c>
      <c r="AA48">
        <v>0.10681775041323123</v>
      </c>
      <c r="AB48">
        <v>5.6933648367981704E-2</v>
      </c>
    </row>
    <row r="49" spans="4:28" x14ac:dyDescent="0.35">
      <c r="D49" t="s">
        <v>23</v>
      </c>
      <c r="E49" t="s">
        <v>15</v>
      </c>
      <c r="F49">
        <v>0</v>
      </c>
      <c r="G49">
        <v>-0.08</v>
      </c>
      <c r="H49">
        <v>0</v>
      </c>
      <c r="I49">
        <v>0</v>
      </c>
      <c r="J49">
        <v>-0.10526315789473684</v>
      </c>
      <c r="K49">
        <v>-6.4516129032258063E-2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-5.5555555555555552E-2</v>
      </c>
      <c r="S49">
        <v>-3.4482758620689655E-2</v>
      </c>
      <c r="T49">
        <v>-3.8461538461538464E-2</v>
      </c>
      <c r="U49">
        <v>0</v>
      </c>
      <c r="V49">
        <v>0</v>
      </c>
      <c r="W49">
        <v>0</v>
      </c>
      <c r="X49">
        <v>-2.564102564102564E-2</v>
      </c>
      <c r="Y49">
        <v>-2.9411764705882353E-2</v>
      </c>
      <c r="AA49">
        <v>-2.1666596495584334E-2</v>
      </c>
      <c r="AB49">
        <v>3.2061716535026479E-2</v>
      </c>
    </row>
    <row r="50" spans="4:28" x14ac:dyDescent="0.35">
      <c r="D50" t="s">
        <v>23</v>
      </c>
      <c r="E50" t="s">
        <v>6</v>
      </c>
      <c r="F50">
        <v>0</v>
      </c>
      <c r="G50">
        <v>0</v>
      </c>
      <c r="H50">
        <v>2.7777777777777776E-2</v>
      </c>
      <c r="I50">
        <v>0</v>
      </c>
      <c r="J50">
        <v>0</v>
      </c>
      <c r="K50">
        <v>0</v>
      </c>
      <c r="L50">
        <v>0</v>
      </c>
      <c r="M50">
        <v>6.6666666666666666E-2</v>
      </c>
      <c r="N50">
        <v>0</v>
      </c>
      <c r="O50">
        <v>0</v>
      </c>
      <c r="P50">
        <v>4.3478260869565216E-2</v>
      </c>
      <c r="Q50">
        <v>0</v>
      </c>
      <c r="R50">
        <v>0</v>
      </c>
      <c r="S50">
        <v>3.4482758620689655E-2</v>
      </c>
      <c r="T50">
        <v>7.6923076923076927E-2</v>
      </c>
      <c r="U50">
        <v>0</v>
      </c>
      <c r="V50">
        <v>0</v>
      </c>
      <c r="W50">
        <v>0</v>
      </c>
      <c r="X50">
        <v>2.564102564102564E-2</v>
      </c>
      <c r="Y50">
        <v>5.8823529411764705E-2</v>
      </c>
      <c r="AA50">
        <v>1.6689654795528329E-2</v>
      </c>
      <c r="AB50">
        <v>2.5914238334681469E-2</v>
      </c>
    </row>
    <row r="51" spans="4:28" x14ac:dyDescent="0.35">
      <c r="D51" t="s">
        <v>23</v>
      </c>
      <c r="E51" t="s">
        <v>15</v>
      </c>
      <c r="F51">
        <v>0</v>
      </c>
      <c r="G51">
        <v>0</v>
      </c>
      <c r="H51">
        <v>-2.7777777777777776E-2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AA51">
        <v>-1.3888888888888887E-3</v>
      </c>
      <c r="AB51">
        <v>6.2112999374994158E-3</v>
      </c>
    </row>
    <row r="52" spans="4:28" x14ac:dyDescent="0.35">
      <c r="D52" t="s">
        <v>23</v>
      </c>
      <c r="E52" t="s">
        <v>7</v>
      </c>
      <c r="F52">
        <v>5.8823529411764705E-2</v>
      </c>
      <c r="G52">
        <v>0.2</v>
      </c>
      <c r="H52">
        <v>0.1388888888888889</v>
      </c>
      <c r="I52">
        <v>0</v>
      </c>
      <c r="J52">
        <v>0.10526315789473684</v>
      </c>
      <c r="K52">
        <v>6.4516129032258063E-2</v>
      </c>
      <c r="L52">
        <v>0</v>
      </c>
      <c r="M52">
        <v>0</v>
      </c>
      <c r="N52">
        <v>0</v>
      </c>
      <c r="O52">
        <v>0.1111111111111111</v>
      </c>
      <c r="P52">
        <v>4.3478260869565216E-2</v>
      </c>
      <c r="Q52">
        <v>0.13043478260869565</v>
      </c>
      <c r="R52">
        <v>0</v>
      </c>
      <c r="S52">
        <v>0.13793103448275862</v>
      </c>
      <c r="T52">
        <v>3.8461538461538464E-2</v>
      </c>
      <c r="U52">
        <v>0</v>
      </c>
      <c r="V52">
        <v>7.6923076923076927E-2</v>
      </c>
      <c r="W52">
        <v>0.2</v>
      </c>
      <c r="X52">
        <v>2.564102564102564E-2</v>
      </c>
      <c r="Y52">
        <v>0.11764705882352941</v>
      </c>
      <c r="AA52">
        <v>7.2455979707447465E-2</v>
      </c>
      <c r="AB52">
        <v>6.6950334221620625E-2</v>
      </c>
    </row>
    <row r="53" spans="4:28" x14ac:dyDescent="0.35">
      <c r="D53" t="s">
        <v>23</v>
      </c>
      <c r="E53" t="s">
        <v>15</v>
      </c>
      <c r="F53">
        <v>0</v>
      </c>
      <c r="G53">
        <v>0</v>
      </c>
      <c r="H53">
        <v>0</v>
      </c>
      <c r="I53">
        <v>-0.10526315789473684</v>
      </c>
      <c r="J53">
        <v>0</v>
      </c>
      <c r="K53">
        <v>-9.6774193548387094E-2</v>
      </c>
      <c r="L53">
        <v>-0.2</v>
      </c>
      <c r="M53">
        <v>-6.6666666666666666E-2</v>
      </c>
      <c r="N53">
        <v>0</v>
      </c>
      <c r="O53">
        <v>0</v>
      </c>
      <c r="P53">
        <v>-4.3478260869565216E-2</v>
      </c>
      <c r="Q53">
        <v>0</v>
      </c>
      <c r="R53">
        <v>-0.1111111111111111</v>
      </c>
      <c r="S53">
        <v>0</v>
      </c>
      <c r="T53">
        <v>0</v>
      </c>
      <c r="U53">
        <v>-0.1111111111111111</v>
      </c>
      <c r="V53">
        <v>0</v>
      </c>
      <c r="W53">
        <v>0</v>
      </c>
      <c r="X53">
        <v>-2.564102564102564E-2</v>
      </c>
      <c r="Y53">
        <v>0</v>
      </c>
      <c r="AA53">
        <v>-3.8002276342130187E-2</v>
      </c>
      <c r="AB53">
        <v>5.7695088104594699E-2</v>
      </c>
    </row>
    <row r="54" spans="4:28" x14ac:dyDescent="0.35">
      <c r="D54" t="s">
        <v>23</v>
      </c>
      <c r="E54" t="s">
        <v>78</v>
      </c>
      <c r="F54">
        <v>17</v>
      </c>
      <c r="G54">
        <v>25</v>
      </c>
      <c r="H54">
        <v>36</v>
      </c>
      <c r="I54">
        <v>19</v>
      </c>
      <c r="J54">
        <v>19</v>
      </c>
      <c r="K54">
        <v>31</v>
      </c>
      <c r="L54">
        <v>5</v>
      </c>
      <c r="M54">
        <v>15</v>
      </c>
      <c r="N54">
        <v>0</v>
      </c>
      <c r="O54">
        <v>9</v>
      </c>
      <c r="P54">
        <v>23</v>
      </c>
      <c r="Q54">
        <v>23</v>
      </c>
      <c r="R54">
        <v>18</v>
      </c>
      <c r="S54">
        <v>29</v>
      </c>
      <c r="T54">
        <v>26</v>
      </c>
      <c r="U54">
        <v>18</v>
      </c>
      <c r="V54">
        <v>13</v>
      </c>
      <c r="W54">
        <v>10</v>
      </c>
      <c r="X54">
        <v>39</v>
      </c>
      <c r="Y54">
        <v>34</v>
      </c>
      <c r="AA54">
        <f>AVERAGE(F54:Y54)</f>
        <v>20.45</v>
      </c>
      <c r="AB54">
        <f>_xlfn.STDEV.S(F54:Y54)</f>
        <v>10.333771920516883</v>
      </c>
    </row>
    <row r="55" spans="4:28" x14ac:dyDescent="0.35">
      <c r="D55" t="s">
        <v>23</v>
      </c>
      <c r="E55" t="s">
        <v>42</v>
      </c>
      <c r="F55">
        <v>2</v>
      </c>
      <c r="G55">
        <v>3</v>
      </c>
      <c r="H55">
        <v>2</v>
      </c>
      <c r="I55">
        <v>2</v>
      </c>
      <c r="J55">
        <v>2</v>
      </c>
      <c r="K55">
        <v>2</v>
      </c>
      <c r="L55">
        <v>1</v>
      </c>
      <c r="M55">
        <v>1</v>
      </c>
      <c r="N55">
        <v>0</v>
      </c>
      <c r="O55">
        <v>1</v>
      </c>
      <c r="P55">
        <v>2</v>
      </c>
      <c r="Q55">
        <v>3</v>
      </c>
      <c r="R55">
        <v>1</v>
      </c>
      <c r="S55">
        <v>3</v>
      </c>
      <c r="T55">
        <v>4</v>
      </c>
      <c r="U55">
        <v>3</v>
      </c>
      <c r="V55">
        <v>1</v>
      </c>
      <c r="W55">
        <v>1</v>
      </c>
      <c r="X55">
        <v>6</v>
      </c>
      <c r="Y55">
        <v>2</v>
      </c>
      <c r="AA55">
        <f>AVERAGE(F55:Y55)</f>
        <v>2.1</v>
      </c>
      <c r="AB55">
        <f>_xlfn.STDEV.S(F55:Y55)</f>
        <v>1.3337718577107003</v>
      </c>
    </row>
    <row r="56" spans="4:28" x14ac:dyDescent="0.35">
      <c r="D56" t="s">
        <v>23</v>
      </c>
      <c r="E56" t="s">
        <v>137</v>
      </c>
      <c r="F56">
        <v>3</v>
      </c>
      <c r="G56">
        <v>3</v>
      </c>
      <c r="H56">
        <v>3</v>
      </c>
      <c r="I56">
        <v>3</v>
      </c>
      <c r="J56">
        <v>3</v>
      </c>
      <c r="K56" t="s">
        <v>149</v>
      </c>
      <c r="L56">
        <v>3</v>
      </c>
      <c r="M56">
        <v>3</v>
      </c>
      <c r="N56" t="s">
        <v>148</v>
      </c>
      <c r="O56">
        <v>3</v>
      </c>
      <c r="P56">
        <v>3</v>
      </c>
      <c r="Q56">
        <v>3</v>
      </c>
      <c r="R56">
        <v>1</v>
      </c>
      <c r="S56">
        <v>3</v>
      </c>
      <c r="T56">
        <v>3</v>
      </c>
      <c r="U56">
        <v>3</v>
      </c>
      <c r="V56">
        <v>3</v>
      </c>
      <c r="W56">
        <v>3</v>
      </c>
      <c r="X56">
        <v>3</v>
      </c>
      <c r="Y56">
        <v>2</v>
      </c>
      <c r="AA56">
        <f>AVERAGE(F56:Y56)</f>
        <v>2.8333333333333335</v>
      </c>
      <c r="AB56">
        <f>_xlfn.STDEV.S(F56:Y56)</f>
        <v>0.51449575542752657</v>
      </c>
    </row>
    <row r="57" spans="4:28" x14ac:dyDescent="0.35">
      <c r="D57" t="s">
        <v>23</v>
      </c>
      <c r="E57" t="s">
        <v>20</v>
      </c>
      <c r="F57">
        <v>1</v>
      </c>
      <c r="G57">
        <v>1</v>
      </c>
      <c r="H57">
        <v>1</v>
      </c>
      <c r="I57">
        <v>2</v>
      </c>
      <c r="J57">
        <v>1</v>
      </c>
      <c r="K57">
        <v>1</v>
      </c>
      <c r="L57">
        <v>1</v>
      </c>
      <c r="M57">
        <v>1</v>
      </c>
      <c r="N57">
        <v>0</v>
      </c>
      <c r="O57">
        <v>2</v>
      </c>
      <c r="P57">
        <v>1</v>
      </c>
      <c r="Q57">
        <v>1</v>
      </c>
      <c r="R57">
        <v>1</v>
      </c>
      <c r="S57">
        <v>2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AA57">
        <f>AVERAGE(F57:Y57)</f>
        <v>1.1000000000000001</v>
      </c>
      <c r="AB57">
        <f>_xlfn.STDEV.S(F57:Y57)</f>
        <v>0.44721359549995798</v>
      </c>
    </row>
    <row r="58" spans="4:28" x14ac:dyDescent="0.35">
      <c r="D58" t="s">
        <v>23</v>
      </c>
      <c r="E58" t="s">
        <v>21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0</v>
      </c>
      <c r="M58">
        <v>1</v>
      </c>
      <c r="N58">
        <v>0</v>
      </c>
      <c r="O58">
        <v>0</v>
      </c>
      <c r="P58">
        <v>1</v>
      </c>
      <c r="Q58">
        <v>1</v>
      </c>
      <c r="R58">
        <v>1</v>
      </c>
      <c r="S58">
        <v>0</v>
      </c>
      <c r="T58">
        <v>1</v>
      </c>
      <c r="U58">
        <v>1</v>
      </c>
      <c r="V58">
        <v>1</v>
      </c>
      <c r="W58">
        <v>1</v>
      </c>
      <c r="X58">
        <v>2</v>
      </c>
      <c r="Y58">
        <v>1</v>
      </c>
      <c r="AA58">
        <f>AVERAGE(F58:Y58)</f>
        <v>0.85</v>
      </c>
      <c r="AB58">
        <f>_xlfn.STDEV.S(F58:Y58)</f>
        <v>0.48936048492959294</v>
      </c>
    </row>
    <row r="61" spans="4:28" x14ac:dyDescent="0.35">
      <c r="D61" t="s">
        <v>24</v>
      </c>
      <c r="E61" t="s">
        <v>0</v>
      </c>
      <c r="F61">
        <v>0.17647058823529413</v>
      </c>
      <c r="G61">
        <v>0.16666666666666666</v>
      </c>
      <c r="H61">
        <v>0.10256410256410256</v>
      </c>
      <c r="I61">
        <v>0.12903225806451613</v>
      </c>
      <c r="J61">
        <v>0.16666666666666666</v>
      </c>
      <c r="K61">
        <v>6.9767441860465115E-2</v>
      </c>
      <c r="L61">
        <v>0.2</v>
      </c>
      <c r="M61">
        <v>0.1276595744680851</v>
      </c>
      <c r="N61">
        <v>0.25</v>
      </c>
      <c r="O61">
        <v>0.15789473684210525</v>
      </c>
      <c r="P61">
        <v>0.125</v>
      </c>
      <c r="Q61">
        <v>0.14285714285714285</v>
      </c>
      <c r="R61">
        <v>0.23809523809523808</v>
      </c>
      <c r="S61">
        <v>0.125</v>
      </c>
      <c r="T61">
        <v>0.16666666666666666</v>
      </c>
      <c r="U61">
        <v>0.23076923076923078</v>
      </c>
      <c r="V61">
        <v>0.11764705882352941</v>
      </c>
      <c r="W61">
        <v>0.14285714285714285</v>
      </c>
      <c r="X61">
        <v>0.10344827586206896</v>
      </c>
      <c r="Y61">
        <v>0.13333333333333333</v>
      </c>
      <c r="AA61">
        <v>0.1536198062316127</v>
      </c>
      <c r="AB61">
        <v>4.7344479419604062E-2</v>
      </c>
    </row>
    <row r="62" spans="4:28" x14ac:dyDescent="0.35">
      <c r="D62" t="s">
        <v>24</v>
      </c>
      <c r="E62" t="s">
        <v>15</v>
      </c>
      <c r="F62">
        <v>0</v>
      </c>
      <c r="G62">
        <v>-4.1666666666666664E-2</v>
      </c>
      <c r="H62">
        <v>0</v>
      </c>
      <c r="I62">
        <v>0</v>
      </c>
      <c r="J62">
        <v>0</v>
      </c>
      <c r="K62">
        <v>0</v>
      </c>
      <c r="L62">
        <v>-0.05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AA62">
        <v>-4.5833333333333334E-3</v>
      </c>
      <c r="AB62">
        <v>1.4171825686017091E-2</v>
      </c>
    </row>
    <row r="63" spans="4:28" x14ac:dyDescent="0.35">
      <c r="D63" t="s">
        <v>24</v>
      </c>
      <c r="E63" t="s">
        <v>4</v>
      </c>
      <c r="F63">
        <v>0</v>
      </c>
      <c r="G63">
        <v>0.125</v>
      </c>
      <c r="H63">
        <v>0.15384615384615385</v>
      </c>
      <c r="I63">
        <v>0.16129032258064516</v>
      </c>
      <c r="J63">
        <v>0.16666666666666666</v>
      </c>
      <c r="K63">
        <v>0.18604651162790697</v>
      </c>
      <c r="L63">
        <v>0.05</v>
      </c>
      <c r="M63">
        <v>0.14893617021276595</v>
      </c>
      <c r="N63">
        <v>6.25E-2</v>
      </c>
      <c r="O63">
        <v>0.15789473684210525</v>
      </c>
      <c r="P63">
        <v>0.16666666666666666</v>
      </c>
      <c r="Q63">
        <v>0.10714285714285714</v>
      </c>
      <c r="R63">
        <v>4.7619047619047616E-2</v>
      </c>
      <c r="S63">
        <v>0.125</v>
      </c>
      <c r="T63">
        <v>8.3333333333333329E-2</v>
      </c>
      <c r="U63">
        <v>7.6923076923076927E-2</v>
      </c>
      <c r="V63">
        <v>0.14705882352941177</v>
      </c>
      <c r="W63">
        <v>0.14285714285714285</v>
      </c>
      <c r="X63">
        <v>0.17241379310344829</v>
      </c>
      <c r="Y63">
        <v>8.8888888888888892E-2</v>
      </c>
      <c r="AA63">
        <v>0.11850420959200587</v>
      </c>
      <c r="AB63">
        <v>5.1312805090815629E-2</v>
      </c>
    </row>
    <row r="64" spans="4:28" x14ac:dyDescent="0.35">
      <c r="D64" t="s">
        <v>24</v>
      </c>
      <c r="E64" t="s">
        <v>15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-3.5714285714285712E-2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-4.4444444444444446E-2</v>
      </c>
      <c r="AA64">
        <v>-4.0079365079365072E-3</v>
      </c>
      <c r="AB64">
        <v>1.2417194667972005E-2</v>
      </c>
    </row>
    <row r="65" spans="4:28" x14ac:dyDescent="0.35">
      <c r="D65" t="s">
        <v>24</v>
      </c>
      <c r="E65" t="s">
        <v>5</v>
      </c>
      <c r="F65">
        <v>0.11764705882352941</v>
      </c>
      <c r="G65">
        <v>0.125</v>
      </c>
      <c r="H65">
        <v>0.12820512820512819</v>
      </c>
      <c r="I65">
        <v>0.12903225806451613</v>
      </c>
      <c r="J65">
        <v>5.5555555555555552E-2</v>
      </c>
      <c r="K65">
        <v>9.3023255813953487E-2</v>
      </c>
      <c r="L65">
        <v>0.15</v>
      </c>
      <c r="M65">
        <v>6.3829787234042548E-2</v>
      </c>
      <c r="N65">
        <v>0.1875</v>
      </c>
      <c r="O65">
        <v>0.15789473684210525</v>
      </c>
      <c r="P65">
        <v>4.1666666666666664E-2</v>
      </c>
      <c r="Q65">
        <v>0.14285714285714285</v>
      </c>
      <c r="R65">
        <v>0.14285714285714285</v>
      </c>
      <c r="S65">
        <v>8.3333333333333329E-2</v>
      </c>
      <c r="T65">
        <v>0.125</v>
      </c>
      <c r="U65">
        <v>7.6923076923076927E-2</v>
      </c>
      <c r="V65">
        <v>0.11764705882352941</v>
      </c>
      <c r="W65">
        <v>0.14285714285714285</v>
      </c>
      <c r="X65">
        <v>0.13793103448275862</v>
      </c>
      <c r="Y65">
        <v>0.1111111111111111</v>
      </c>
      <c r="AA65">
        <v>0.11649357452253677</v>
      </c>
      <c r="AB65">
        <v>3.7131573495605329E-2</v>
      </c>
    </row>
    <row r="66" spans="4:28" x14ac:dyDescent="0.35">
      <c r="D66" t="s">
        <v>24</v>
      </c>
      <c r="E66" t="s">
        <v>15</v>
      </c>
      <c r="F66">
        <v>-5.8823529411764705E-2</v>
      </c>
      <c r="G66">
        <v>0</v>
      </c>
      <c r="H66">
        <v>-2.564102564102564E-2</v>
      </c>
      <c r="I66">
        <v>0</v>
      </c>
      <c r="J66">
        <v>-5.5555555555555552E-2</v>
      </c>
      <c r="K66">
        <v>-2.3255813953488372E-2</v>
      </c>
      <c r="L66">
        <v>0</v>
      </c>
      <c r="M66">
        <v>-0.10638297872340426</v>
      </c>
      <c r="N66">
        <v>0</v>
      </c>
      <c r="O66">
        <v>0</v>
      </c>
      <c r="P66">
        <v>-4.1666666666666664E-2</v>
      </c>
      <c r="Q66">
        <v>0</v>
      </c>
      <c r="R66">
        <v>0</v>
      </c>
      <c r="S66">
        <v>-8.3333333333333329E-2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AA66">
        <v>-1.9732945164261925E-2</v>
      </c>
      <c r="AB66">
        <v>3.2407791188483512E-2</v>
      </c>
    </row>
    <row r="67" spans="4:28" x14ac:dyDescent="0.35">
      <c r="D67" t="s">
        <v>24</v>
      </c>
      <c r="E67" t="s">
        <v>6</v>
      </c>
      <c r="F67">
        <v>0</v>
      </c>
      <c r="G67">
        <v>0</v>
      </c>
      <c r="H67">
        <v>7.6923076923076927E-2</v>
      </c>
      <c r="I67">
        <v>3.2258064516129031E-2</v>
      </c>
      <c r="J67">
        <v>0</v>
      </c>
      <c r="K67">
        <v>4.6511627906976744E-2</v>
      </c>
      <c r="L67">
        <v>0.05</v>
      </c>
      <c r="M67">
        <v>4.2553191489361701E-2</v>
      </c>
      <c r="N67">
        <v>0</v>
      </c>
      <c r="O67">
        <v>5.2631578947368418E-2</v>
      </c>
      <c r="P67">
        <v>0</v>
      </c>
      <c r="Q67">
        <v>7.1428571428571425E-2</v>
      </c>
      <c r="R67">
        <v>4.7619047619047616E-2</v>
      </c>
      <c r="S67">
        <v>0.125</v>
      </c>
      <c r="T67">
        <v>4.1666666666666664E-2</v>
      </c>
      <c r="U67">
        <v>7.6923076923076927E-2</v>
      </c>
      <c r="V67">
        <v>2.9411764705882353E-2</v>
      </c>
      <c r="W67">
        <v>9.5238095238095233E-2</v>
      </c>
      <c r="X67">
        <v>6.8965517241379309E-2</v>
      </c>
      <c r="Y67">
        <v>0.13333333333333333</v>
      </c>
      <c r="AA67">
        <v>4.9523180646948287E-2</v>
      </c>
      <c r="AB67">
        <v>3.9913244880915827E-2</v>
      </c>
    </row>
    <row r="68" spans="4:28" x14ac:dyDescent="0.35">
      <c r="D68" t="s">
        <v>24</v>
      </c>
      <c r="E68" t="s">
        <v>15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-2.3809523809523808E-2</v>
      </c>
      <c r="X68">
        <v>0</v>
      </c>
      <c r="Y68">
        <v>0</v>
      </c>
      <c r="AA68">
        <v>-1.1904761904761904E-3</v>
      </c>
      <c r="AB68">
        <v>5.3239713749994987E-3</v>
      </c>
    </row>
    <row r="69" spans="4:28" x14ac:dyDescent="0.35">
      <c r="D69" t="s">
        <v>24</v>
      </c>
      <c r="E69" t="s">
        <v>7</v>
      </c>
      <c r="F69">
        <v>0</v>
      </c>
      <c r="G69">
        <v>0</v>
      </c>
      <c r="H69">
        <v>7.6923076923076927E-2</v>
      </c>
      <c r="I69">
        <v>9.6774193548387094E-2</v>
      </c>
      <c r="J69">
        <v>5.5555555555555552E-2</v>
      </c>
      <c r="K69">
        <v>9.3023255813953487E-2</v>
      </c>
      <c r="L69">
        <v>0.15</v>
      </c>
      <c r="M69">
        <v>6.3829787234042548E-2</v>
      </c>
      <c r="N69">
        <v>0</v>
      </c>
      <c r="O69">
        <v>0.10526315789473684</v>
      </c>
      <c r="P69">
        <v>0.125</v>
      </c>
      <c r="Q69">
        <v>0.10714285714285714</v>
      </c>
      <c r="R69">
        <v>9.5238095238095233E-2</v>
      </c>
      <c r="S69">
        <v>0</v>
      </c>
      <c r="T69">
        <v>8.3333333333333329E-2</v>
      </c>
      <c r="U69">
        <v>7.6923076923076927E-2</v>
      </c>
      <c r="V69">
        <v>0.11764705882352941</v>
      </c>
      <c r="W69">
        <v>0.11904761904761904</v>
      </c>
      <c r="X69">
        <v>6.8965517241379309E-2</v>
      </c>
      <c r="Y69">
        <v>4.4444444444444446E-2</v>
      </c>
      <c r="AA69">
        <v>7.3955551458204358E-2</v>
      </c>
      <c r="AB69">
        <v>4.534630524280292E-2</v>
      </c>
    </row>
    <row r="70" spans="4:28" x14ac:dyDescent="0.35">
      <c r="D70" t="s">
        <v>24</v>
      </c>
      <c r="E70" t="s">
        <v>15</v>
      </c>
      <c r="F70">
        <v>0</v>
      </c>
      <c r="G70">
        <v>-8.3333333333333329E-2</v>
      </c>
      <c r="H70">
        <v>0</v>
      </c>
      <c r="I70">
        <v>-3.2258064516129031E-2</v>
      </c>
      <c r="J70">
        <v>0</v>
      </c>
      <c r="K70">
        <v>-2.3255813953488372E-2</v>
      </c>
      <c r="L70">
        <v>0</v>
      </c>
      <c r="M70">
        <v>0</v>
      </c>
      <c r="N70">
        <v>-6.25E-2</v>
      </c>
      <c r="O70">
        <v>-5.2631578947368418E-2</v>
      </c>
      <c r="P70">
        <v>0</v>
      </c>
      <c r="Q70">
        <v>0</v>
      </c>
      <c r="R70">
        <v>-4.7619047619047616E-2</v>
      </c>
      <c r="S70">
        <v>-4.1666666666666664E-2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AA70">
        <v>-1.7163225251801674E-2</v>
      </c>
      <c r="AB70">
        <v>2.6471784325637335E-2</v>
      </c>
    </row>
    <row r="71" spans="4:28" x14ac:dyDescent="0.35">
      <c r="D71" t="s">
        <v>24</v>
      </c>
      <c r="E71" t="s">
        <v>78</v>
      </c>
      <c r="F71">
        <v>17</v>
      </c>
      <c r="G71">
        <v>24</v>
      </c>
      <c r="H71">
        <v>39</v>
      </c>
      <c r="I71">
        <v>31</v>
      </c>
      <c r="J71">
        <v>18</v>
      </c>
      <c r="K71">
        <v>43</v>
      </c>
      <c r="L71">
        <v>20</v>
      </c>
      <c r="M71">
        <v>47</v>
      </c>
      <c r="N71">
        <v>16</v>
      </c>
      <c r="O71">
        <v>19</v>
      </c>
      <c r="P71">
        <v>24</v>
      </c>
      <c r="Q71">
        <v>28</v>
      </c>
      <c r="R71">
        <v>21</v>
      </c>
      <c r="S71">
        <v>24</v>
      </c>
      <c r="T71">
        <v>24</v>
      </c>
      <c r="U71">
        <v>13</v>
      </c>
      <c r="V71">
        <v>34</v>
      </c>
      <c r="W71">
        <v>42</v>
      </c>
      <c r="X71">
        <v>29</v>
      </c>
      <c r="Y71">
        <v>45</v>
      </c>
      <c r="AA71">
        <f>AVERAGE(F71:Y71)</f>
        <v>27.9</v>
      </c>
      <c r="AB71">
        <f>_xlfn.STDEV.S(F71:Y71)</f>
        <v>10.477544911305369</v>
      </c>
    </row>
    <row r="72" spans="4:28" x14ac:dyDescent="0.35">
      <c r="D72" t="s">
        <v>24</v>
      </c>
      <c r="E72" t="s">
        <v>42</v>
      </c>
      <c r="F72">
        <v>2</v>
      </c>
      <c r="G72">
        <v>3</v>
      </c>
      <c r="H72">
        <v>4</v>
      </c>
      <c r="I72">
        <v>4</v>
      </c>
      <c r="J72">
        <v>2</v>
      </c>
      <c r="K72">
        <v>4</v>
      </c>
      <c r="L72">
        <v>3</v>
      </c>
      <c r="M72">
        <v>5</v>
      </c>
      <c r="N72">
        <v>2</v>
      </c>
      <c r="O72">
        <v>2</v>
      </c>
      <c r="P72">
        <v>2</v>
      </c>
      <c r="Q72">
        <v>4</v>
      </c>
      <c r="R72">
        <v>2</v>
      </c>
      <c r="S72">
        <v>3</v>
      </c>
      <c r="T72">
        <v>3</v>
      </c>
      <c r="U72">
        <v>2</v>
      </c>
      <c r="V72">
        <v>2</v>
      </c>
      <c r="W72">
        <v>4</v>
      </c>
      <c r="X72">
        <v>3</v>
      </c>
      <c r="Y72">
        <v>5</v>
      </c>
      <c r="AA72">
        <f>AVERAGE(F72:Y72)</f>
        <v>3.05</v>
      </c>
      <c r="AB72">
        <f>_xlfn.STDEV.S(F72:Y72)</f>
        <v>1.0500626547722607</v>
      </c>
    </row>
    <row r="73" spans="4:28" x14ac:dyDescent="0.35">
      <c r="D73" t="s">
        <v>24</v>
      </c>
      <c r="E73" t="s">
        <v>137</v>
      </c>
      <c r="F73">
        <v>2</v>
      </c>
      <c r="G73">
        <v>3</v>
      </c>
      <c r="H73">
        <v>3</v>
      </c>
      <c r="I73">
        <v>3</v>
      </c>
      <c r="J73">
        <v>3</v>
      </c>
      <c r="K73">
        <v>3</v>
      </c>
      <c r="L73">
        <v>3</v>
      </c>
      <c r="M73" t="s">
        <v>149</v>
      </c>
      <c r="N73">
        <v>3</v>
      </c>
      <c r="O73">
        <v>3</v>
      </c>
      <c r="P73">
        <v>3</v>
      </c>
      <c r="Q73">
        <v>3</v>
      </c>
      <c r="R73">
        <v>3</v>
      </c>
      <c r="S73">
        <v>3</v>
      </c>
      <c r="T73">
        <v>3</v>
      </c>
      <c r="U73">
        <v>3</v>
      </c>
      <c r="V73">
        <v>3</v>
      </c>
      <c r="W73">
        <v>3</v>
      </c>
      <c r="X73">
        <v>3</v>
      </c>
      <c r="Y73">
        <v>3</v>
      </c>
      <c r="AA73">
        <f>AVERAGE(F73:Y73)</f>
        <v>2.9473684210526314</v>
      </c>
      <c r="AB73">
        <f>_xlfn.STDEV.S(F73:Y73)</f>
        <v>0.22941573387056166</v>
      </c>
    </row>
    <row r="74" spans="4:28" x14ac:dyDescent="0.35">
      <c r="D74" t="s">
        <v>24</v>
      </c>
      <c r="E74" t="s">
        <v>20</v>
      </c>
      <c r="F74">
        <v>2</v>
      </c>
      <c r="G74">
        <v>2</v>
      </c>
      <c r="H74">
        <v>3</v>
      </c>
      <c r="I74">
        <v>3</v>
      </c>
      <c r="J74">
        <v>3</v>
      </c>
      <c r="K74">
        <v>3</v>
      </c>
      <c r="L74">
        <v>2</v>
      </c>
      <c r="M74">
        <v>3</v>
      </c>
      <c r="N74">
        <v>3</v>
      </c>
      <c r="O74">
        <v>3</v>
      </c>
      <c r="P74">
        <v>3</v>
      </c>
      <c r="Q74">
        <v>3</v>
      </c>
      <c r="R74">
        <v>3</v>
      </c>
      <c r="S74">
        <v>3</v>
      </c>
      <c r="T74">
        <v>3</v>
      </c>
      <c r="U74">
        <v>3</v>
      </c>
      <c r="V74">
        <v>3</v>
      </c>
      <c r="W74">
        <v>3</v>
      </c>
      <c r="X74">
        <v>3</v>
      </c>
      <c r="Y74">
        <v>3</v>
      </c>
      <c r="AA74">
        <f>AVERAGE(F74:Y74)</f>
        <v>2.85</v>
      </c>
      <c r="AB74">
        <f>_xlfn.STDEV.S(F74:Y74)</f>
        <v>0.3663475485325241</v>
      </c>
    </row>
    <row r="75" spans="4:28" x14ac:dyDescent="0.35">
      <c r="D75" t="s">
        <v>24</v>
      </c>
      <c r="E75" t="s">
        <v>21</v>
      </c>
      <c r="F75">
        <v>2</v>
      </c>
      <c r="G75">
        <v>2</v>
      </c>
      <c r="H75">
        <v>3</v>
      </c>
      <c r="I75">
        <v>2</v>
      </c>
      <c r="J75">
        <v>1</v>
      </c>
      <c r="K75">
        <v>3</v>
      </c>
      <c r="L75">
        <v>2</v>
      </c>
      <c r="M75">
        <v>2</v>
      </c>
      <c r="N75">
        <v>2</v>
      </c>
      <c r="O75">
        <v>2</v>
      </c>
      <c r="P75">
        <v>2</v>
      </c>
      <c r="Q75">
        <v>2</v>
      </c>
      <c r="R75">
        <v>2</v>
      </c>
      <c r="S75">
        <v>2</v>
      </c>
      <c r="T75">
        <v>2</v>
      </c>
      <c r="U75">
        <v>1</v>
      </c>
      <c r="V75">
        <v>3</v>
      </c>
      <c r="W75">
        <v>3</v>
      </c>
      <c r="X75">
        <v>2</v>
      </c>
      <c r="Y75">
        <v>3</v>
      </c>
      <c r="AA75">
        <f>AVERAGE(F75:Y75)</f>
        <v>2.15</v>
      </c>
      <c r="AB75">
        <f>_xlfn.STDEV.S(F75:Y75)</f>
        <v>0.58714294861239968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EDEE0-0389-40EE-AAEE-149C0E853EB6}">
  <dimension ref="B2:AP73"/>
  <sheetViews>
    <sheetView zoomScale="90" workbookViewId="0">
      <selection activeCell="Z7" sqref="Z7"/>
    </sheetView>
  </sheetViews>
  <sheetFormatPr baseColWidth="10" defaultRowHeight="14.5" x14ac:dyDescent="0.35"/>
  <sheetData>
    <row r="2" spans="2:42" x14ac:dyDescent="0.35">
      <c r="AK2" t="s">
        <v>86</v>
      </c>
      <c r="AL2" t="s">
        <v>83</v>
      </c>
      <c r="AM2" t="s">
        <v>82</v>
      </c>
      <c r="AN2" t="s">
        <v>81</v>
      </c>
      <c r="AO2" t="s">
        <v>80</v>
      </c>
    </row>
    <row r="3" spans="2:42" x14ac:dyDescent="0.35">
      <c r="AL3">
        <v>3</v>
      </c>
      <c r="AM3">
        <v>2</v>
      </c>
      <c r="AN3">
        <v>1</v>
      </c>
      <c r="AO3">
        <v>0</v>
      </c>
    </row>
    <row r="5" spans="2:42" x14ac:dyDescent="0.35">
      <c r="B5" t="s">
        <v>79</v>
      </c>
      <c r="C5" t="s">
        <v>105</v>
      </c>
      <c r="AD5" t="s">
        <v>41</v>
      </c>
      <c r="AG5" t="s">
        <v>84</v>
      </c>
      <c r="AI5" t="s">
        <v>85</v>
      </c>
      <c r="AL5">
        <v>3</v>
      </c>
      <c r="AM5">
        <v>2</v>
      </c>
      <c r="AN5">
        <v>1</v>
      </c>
      <c r="AO5">
        <v>0</v>
      </c>
    </row>
    <row r="6" spans="2:42" x14ac:dyDescent="0.35"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K6" t="s">
        <v>51</v>
      </c>
      <c r="L6" t="s">
        <v>52</v>
      </c>
      <c r="M6" t="s">
        <v>53</v>
      </c>
      <c r="N6" t="s">
        <v>54</v>
      </c>
      <c r="O6" t="s">
        <v>55</v>
      </c>
      <c r="P6" t="s">
        <v>56</v>
      </c>
      <c r="Q6" t="s">
        <v>57</v>
      </c>
      <c r="R6" t="s">
        <v>58</v>
      </c>
      <c r="S6" t="s">
        <v>59</v>
      </c>
      <c r="T6" t="s">
        <v>60</v>
      </c>
      <c r="U6" t="s">
        <v>61</v>
      </c>
      <c r="V6" t="s">
        <v>62</v>
      </c>
      <c r="W6" t="s">
        <v>63</v>
      </c>
      <c r="X6" t="s">
        <v>73</v>
      </c>
      <c r="AC6" t="s">
        <v>18</v>
      </c>
      <c r="AD6">
        <v>7</v>
      </c>
      <c r="AE6" t="s">
        <v>0</v>
      </c>
      <c r="AG6">
        <f>AD6/AD16</f>
        <v>0.21875</v>
      </c>
      <c r="AI6">
        <f>11/62</f>
        <v>0.17741935483870969</v>
      </c>
      <c r="AL6" t="s">
        <v>87</v>
      </c>
      <c r="AM6" t="s">
        <v>99</v>
      </c>
      <c r="AN6" t="s">
        <v>89</v>
      </c>
      <c r="AO6" t="s">
        <v>88</v>
      </c>
    </row>
    <row r="7" spans="2:42" x14ac:dyDescent="0.35">
      <c r="B7" t="s">
        <v>18</v>
      </c>
      <c r="C7" t="s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f>AVERAGE(D7,W7)</f>
        <v>0</v>
      </c>
      <c r="Z7" t="s">
        <v>107</v>
      </c>
      <c r="AC7" t="s">
        <v>18</v>
      </c>
      <c r="AE7" t="s">
        <v>14</v>
      </c>
    </row>
    <row r="8" spans="2:42" x14ac:dyDescent="0.35">
      <c r="B8" t="s">
        <v>18</v>
      </c>
      <c r="C8" t="s">
        <v>14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f t="shared" ref="X8:X15" si="0">AVERAGE(D8,W8)</f>
        <v>0</v>
      </c>
      <c r="AC8" t="s">
        <v>18</v>
      </c>
      <c r="AD8">
        <v>4</v>
      </c>
      <c r="AE8" t="s">
        <v>4</v>
      </c>
      <c r="AG8">
        <f>AD8/AD16</f>
        <v>0.125</v>
      </c>
      <c r="AI8">
        <f>7/62</f>
        <v>0.11290322580645161</v>
      </c>
      <c r="AL8" t="s">
        <v>91</v>
      </c>
      <c r="AM8" t="s">
        <v>98</v>
      </c>
      <c r="AN8" t="s">
        <v>93</v>
      </c>
      <c r="AO8" t="s">
        <v>94</v>
      </c>
    </row>
    <row r="9" spans="2:42" x14ac:dyDescent="0.35">
      <c r="B9" t="s">
        <v>18</v>
      </c>
      <c r="C9" t="s">
        <v>4</v>
      </c>
      <c r="D9">
        <v>0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  <c r="T9">
        <v>1</v>
      </c>
      <c r="U9">
        <v>1</v>
      </c>
      <c r="V9">
        <v>0</v>
      </c>
      <c r="W9">
        <v>0</v>
      </c>
      <c r="X9">
        <f t="shared" si="0"/>
        <v>0</v>
      </c>
      <c r="AC9" t="s">
        <v>18</v>
      </c>
      <c r="AE9" t="s">
        <v>16</v>
      </c>
    </row>
    <row r="10" spans="2:42" x14ac:dyDescent="0.35">
      <c r="B10" t="s">
        <v>18</v>
      </c>
      <c r="C10" t="s">
        <v>16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f t="shared" si="0"/>
        <v>0</v>
      </c>
      <c r="AC10" t="s">
        <v>18</v>
      </c>
      <c r="AD10">
        <v>3</v>
      </c>
      <c r="AE10" t="s">
        <v>5</v>
      </c>
      <c r="AG10">
        <f>AD10/AD16</f>
        <v>9.375E-2</v>
      </c>
      <c r="AI10">
        <f>6/62</f>
        <v>9.6774193548387094E-2</v>
      </c>
      <c r="AL10" t="s">
        <v>95</v>
      </c>
      <c r="AM10" t="s">
        <v>97</v>
      </c>
      <c r="AN10" t="s">
        <v>92</v>
      </c>
      <c r="AO10" t="s">
        <v>94</v>
      </c>
    </row>
    <row r="11" spans="2:42" x14ac:dyDescent="0.35">
      <c r="B11" t="s">
        <v>18</v>
      </c>
      <c r="C11" t="s">
        <v>5</v>
      </c>
      <c r="D11">
        <v>1</v>
      </c>
      <c r="E11">
        <v>0</v>
      </c>
      <c r="F11">
        <v>1</v>
      </c>
      <c r="G11">
        <v>1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1</v>
      </c>
      <c r="S11">
        <v>1</v>
      </c>
      <c r="T11">
        <v>0</v>
      </c>
      <c r="U11">
        <v>1</v>
      </c>
      <c r="V11">
        <v>1</v>
      </c>
      <c r="W11">
        <v>0.1</v>
      </c>
      <c r="X11">
        <f t="shared" si="0"/>
        <v>0.55000000000000004</v>
      </c>
      <c r="AC11" t="s">
        <v>18</v>
      </c>
      <c r="AE11" t="s">
        <v>66</v>
      </c>
    </row>
    <row r="12" spans="2:42" x14ac:dyDescent="0.35">
      <c r="B12" t="s">
        <v>18</v>
      </c>
      <c r="C12" t="s">
        <v>66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f t="shared" si="0"/>
        <v>0</v>
      </c>
      <c r="AC12" t="s">
        <v>18</v>
      </c>
      <c r="AD12">
        <v>0</v>
      </c>
      <c r="AE12" t="s">
        <v>6</v>
      </c>
      <c r="AG12">
        <v>0</v>
      </c>
      <c r="AI12">
        <f>4/62</f>
        <v>6.4516129032258063E-2</v>
      </c>
      <c r="AL12" t="s">
        <v>96</v>
      </c>
      <c r="AM12" t="s">
        <v>100</v>
      </c>
      <c r="AN12" t="s">
        <v>101</v>
      </c>
      <c r="AO12" t="s">
        <v>102</v>
      </c>
    </row>
    <row r="13" spans="2:42" x14ac:dyDescent="0.35">
      <c r="B13" t="s">
        <v>18</v>
      </c>
      <c r="C13" t="s">
        <v>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0.1</v>
      </c>
      <c r="X13">
        <f t="shared" si="0"/>
        <v>0.05</v>
      </c>
      <c r="AC13" t="s">
        <v>18</v>
      </c>
      <c r="AE13" t="s">
        <v>15</v>
      </c>
    </row>
    <row r="14" spans="2:42" x14ac:dyDescent="0.35">
      <c r="B14" t="s">
        <v>18</v>
      </c>
      <c r="C14" t="s">
        <v>15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f t="shared" si="0"/>
        <v>0</v>
      </c>
      <c r="AC14" t="s">
        <v>18</v>
      </c>
      <c r="AD14">
        <v>2</v>
      </c>
      <c r="AE14" t="s">
        <v>7</v>
      </c>
      <c r="AG14">
        <f>AD14/AD16</f>
        <v>6.25E-2</v>
      </c>
      <c r="AI14">
        <f>6/62</f>
        <v>9.6774193548387094E-2</v>
      </c>
      <c r="AL14" t="s">
        <v>96</v>
      </c>
      <c r="AM14" t="s">
        <v>100</v>
      </c>
      <c r="AN14" t="s">
        <v>101</v>
      </c>
      <c r="AO14" t="s">
        <v>102</v>
      </c>
      <c r="AP14" t="s">
        <v>103</v>
      </c>
    </row>
    <row r="15" spans="2:42" x14ac:dyDescent="0.35">
      <c r="B15" t="s">
        <v>18</v>
      </c>
      <c r="C15" t="s">
        <v>7</v>
      </c>
      <c r="D15">
        <v>0</v>
      </c>
      <c r="E15">
        <v>1</v>
      </c>
      <c r="F15">
        <v>0</v>
      </c>
      <c r="G15">
        <v>0</v>
      </c>
      <c r="H15">
        <v>0</v>
      </c>
      <c r="I15">
        <v>1</v>
      </c>
      <c r="J15">
        <v>1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f t="shared" si="0"/>
        <v>0</v>
      </c>
      <c r="AC15" t="s">
        <v>18</v>
      </c>
      <c r="AE15" t="s">
        <v>15</v>
      </c>
    </row>
    <row r="16" spans="2:42" x14ac:dyDescent="0.35">
      <c r="B16" t="s">
        <v>18</v>
      </c>
      <c r="C16" t="s">
        <v>15</v>
      </c>
      <c r="D16">
        <v>0</v>
      </c>
      <c r="E16">
        <v>-2.5000000000000001E-2</v>
      </c>
      <c r="F16">
        <v>0</v>
      </c>
      <c r="G16">
        <v>0</v>
      </c>
      <c r="H16">
        <v>-0.05</v>
      </c>
      <c r="I16">
        <v>-7.3170731707317069E-2</v>
      </c>
      <c r="J16">
        <v>0</v>
      </c>
      <c r="K16">
        <v>-3.8461538461538464E-2</v>
      </c>
      <c r="L16">
        <v>-9.5238095238095233E-2</v>
      </c>
      <c r="M16">
        <v>-2.2727272727272728E-2</v>
      </c>
      <c r="N16">
        <v>-2.7777777777777776E-2</v>
      </c>
      <c r="O16">
        <v>0</v>
      </c>
      <c r="P16">
        <v>0</v>
      </c>
      <c r="Q16">
        <v>-8.1081081081081086E-2</v>
      </c>
      <c r="R16">
        <v>0</v>
      </c>
      <c r="S16">
        <v>-5.5555555555555552E-2</v>
      </c>
      <c r="T16">
        <v>-2.2727272727272728E-2</v>
      </c>
      <c r="U16">
        <v>-0.15384615384615385</v>
      </c>
      <c r="V16">
        <v>-2.4390243902439025E-2</v>
      </c>
      <c r="W16">
        <v>0</v>
      </c>
      <c r="X16">
        <v>-3.3498786151225174E-2</v>
      </c>
      <c r="AD16">
        <v>32</v>
      </c>
      <c r="AE16" t="s">
        <v>78</v>
      </c>
    </row>
    <row r="17" spans="2:31" x14ac:dyDescent="0.35">
      <c r="C17" t="s">
        <v>78</v>
      </c>
      <c r="AC17" t="s">
        <v>18</v>
      </c>
      <c r="AD17">
        <v>3</v>
      </c>
      <c r="AE17" t="s">
        <v>42</v>
      </c>
    </row>
    <row r="18" spans="2:31" x14ac:dyDescent="0.35">
      <c r="B18" t="s">
        <v>18</v>
      </c>
      <c r="C18" t="s">
        <v>42</v>
      </c>
      <c r="AC18" t="s">
        <v>18</v>
      </c>
      <c r="AE18" s="1" t="s">
        <v>43</v>
      </c>
    </row>
    <row r="19" spans="2:31" x14ac:dyDescent="0.35">
      <c r="B19" t="s">
        <v>18</v>
      </c>
      <c r="C19" t="s">
        <v>43</v>
      </c>
      <c r="AD19">
        <v>0</v>
      </c>
      <c r="AE19" t="s">
        <v>72</v>
      </c>
    </row>
    <row r="20" spans="2:31" x14ac:dyDescent="0.35">
      <c r="C20" t="s">
        <v>72</v>
      </c>
      <c r="AC20" t="s">
        <v>18</v>
      </c>
      <c r="AD20">
        <v>2</v>
      </c>
      <c r="AE20" t="s">
        <v>20</v>
      </c>
    </row>
    <row r="21" spans="2:31" x14ac:dyDescent="0.35">
      <c r="B21" t="s">
        <v>18</v>
      </c>
      <c r="C21" t="s">
        <v>20</v>
      </c>
      <c r="AC21" t="s">
        <v>18</v>
      </c>
      <c r="AD21">
        <v>2</v>
      </c>
      <c r="AE21" t="s">
        <v>21</v>
      </c>
    </row>
    <row r="22" spans="2:31" x14ac:dyDescent="0.35">
      <c r="B22" t="s">
        <v>18</v>
      </c>
      <c r="C22" t="s">
        <v>21</v>
      </c>
      <c r="AC22" t="s">
        <v>18</v>
      </c>
      <c r="AE22" t="s">
        <v>72</v>
      </c>
    </row>
    <row r="23" spans="2:31" x14ac:dyDescent="0.35">
      <c r="B23" t="s">
        <v>18</v>
      </c>
      <c r="C23" t="s">
        <v>72</v>
      </c>
      <c r="AC23" t="s">
        <v>19</v>
      </c>
      <c r="AD23">
        <v>7</v>
      </c>
      <c r="AE23" t="s">
        <v>0</v>
      </c>
    </row>
    <row r="24" spans="2:31" x14ac:dyDescent="0.35">
      <c r="B24" t="s">
        <v>19</v>
      </c>
      <c r="C24" t="s">
        <v>0</v>
      </c>
      <c r="D24">
        <v>2</v>
      </c>
      <c r="E24">
        <v>2</v>
      </c>
      <c r="F24">
        <v>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2</v>
      </c>
      <c r="T24">
        <v>1</v>
      </c>
      <c r="U24">
        <v>1</v>
      </c>
      <c r="V24">
        <v>1</v>
      </c>
      <c r="W24">
        <v>1</v>
      </c>
      <c r="X24">
        <f>AVERAGE(D24,W24)</f>
        <v>1.5</v>
      </c>
      <c r="AC24" t="s">
        <v>19</v>
      </c>
      <c r="AE24" t="s">
        <v>15</v>
      </c>
    </row>
    <row r="25" spans="2:31" x14ac:dyDescent="0.35">
      <c r="B25" t="s">
        <v>19</v>
      </c>
      <c r="C25" t="s">
        <v>15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f t="shared" ref="X25:X32" si="1">AVERAGE(D25,W25)</f>
        <v>0</v>
      </c>
      <c r="AC25" t="s">
        <v>19</v>
      </c>
      <c r="AD25">
        <v>4</v>
      </c>
      <c r="AE25" t="s">
        <v>4</v>
      </c>
    </row>
    <row r="26" spans="2:31" x14ac:dyDescent="0.35">
      <c r="B26" t="s">
        <v>19</v>
      </c>
      <c r="C26" t="s">
        <v>4</v>
      </c>
      <c r="D26">
        <v>0</v>
      </c>
      <c r="E26">
        <v>0</v>
      </c>
      <c r="F26">
        <v>1</v>
      </c>
      <c r="G26">
        <v>1</v>
      </c>
      <c r="H26">
        <v>0</v>
      </c>
      <c r="I26">
        <v>1</v>
      </c>
      <c r="J26">
        <v>0</v>
      </c>
      <c r="K26">
        <v>1</v>
      </c>
      <c r="L26">
        <v>1</v>
      </c>
      <c r="M26">
        <v>1</v>
      </c>
      <c r="N26">
        <v>1</v>
      </c>
      <c r="O26">
        <v>1</v>
      </c>
      <c r="P26">
        <v>0</v>
      </c>
      <c r="Q26">
        <v>1</v>
      </c>
      <c r="R26">
        <v>0</v>
      </c>
      <c r="S26">
        <v>0</v>
      </c>
      <c r="T26">
        <v>1</v>
      </c>
      <c r="U26">
        <v>1</v>
      </c>
      <c r="V26">
        <v>1</v>
      </c>
      <c r="W26">
        <v>1</v>
      </c>
      <c r="X26">
        <f t="shared" si="1"/>
        <v>0.5</v>
      </c>
      <c r="AC26" t="s">
        <v>19</v>
      </c>
      <c r="AE26" t="s">
        <v>15</v>
      </c>
    </row>
    <row r="27" spans="2:31" x14ac:dyDescent="0.35">
      <c r="B27" t="s">
        <v>19</v>
      </c>
      <c r="C27" t="s">
        <v>15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f t="shared" si="1"/>
        <v>0</v>
      </c>
      <c r="AC27" t="s">
        <v>19</v>
      </c>
      <c r="AD27">
        <v>3</v>
      </c>
      <c r="AE27" t="s">
        <v>5</v>
      </c>
    </row>
    <row r="28" spans="2:31" x14ac:dyDescent="0.35">
      <c r="B28" t="s">
        <v>19</v>
      </c>
      <c r="C28" t="s">
        <v>5</v>
      </c>
      <c r="D28">
        <v>1</v>
      </c>
      <c r="E28">
        <v>1</v>
      </c>
      <c r="F28">
        <v>1</v>
      </c>
      <c r="G28">
        <v>1</v>
      </c>
      <c r="H28">
        <v>0</v>
      </c>
      <c r="I28">
        <v>0</v>
      </c>
      <c r="J28">
        <v>1</v>
      </c>
      <c r="K28">
        <v>0</v>
      </c>
      <c r="L28">
        <v>1</v>
      </c>
      <c r="M28">
        <v>1</v>
      </c>
      <c r="N28">
        <v>0</v>
      </c>
      <c r="O28">
        <v>0</v>
      </c>
      <c r="P28">
        <v>0</v>
      </c>
      <c r="Q28">
        <v>0</v>
      </c>
      <c r="R28">
        <v>1</v>
      </c>
      <c r="S28">
        <v>1</v>
      </c>
      <c r="T28">
        <v>0</v>
      </c>
      <c r="U28">
        <v>1</v>
      </c>
      <c r="V28">
        <v>1</v>
      </c>
      <c r="W28">
        <v>0</v>
      </c>
      <c r="X28">
        <f t="shared" si="1"/>
        <v>0.5</v>
      </c>
      <c r="AC28" t="s">
        <v>19</v>
      </c>
      <c r="AE28" t="s">
        <v>15</v>
      </c>
    </row>
    <row r="29" spans="2:31" x14ac:dyDescent="0.35">
      <c r="B29" t="s">
        <v>19</v>
      </c>
      <c r="C29" t="s">
        <v>15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f t="shared" si="1"/>
        <v>0</v>
      </c>
      <c r="AC29" t="s">
        <v>19</v>
      </c>
      <c r="AD29">
        <v>0</v>
      </c>
      <c r="AE29" t="s">
        <v>6</v>
      </c>
    </row>
    <row r="30" spans="2:31" x14ac:dyDescent="0.35">
      <c r="B30" t="s">
        <v>19</v>
      </c>
      <c r="C30" t="s">
        <v>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f t="shared" si="1"/>
        <v>0</v>
      </c>
      <c r="AC30" t="s">
        <v>19</v>
      </c>
      <c r="AE30" t="s">
        <v>15</v>
      </c>
    </row>
    <row r="31" spans="2:31" x14ac:dyDescent="0.35">
      <c r="B31" t="s">
        <v>19</v>
      </c>
      <c r="C31" t="s">
        <v>15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f t="shared" si="1"/>
        <v>0</v>
      </c>
      <c r="AC31" t="s">
        <v>19</v>
      </c>
      <c r="AD31">
        <v>2</v>
      </c>
      <c r="AE31" t="s">
        <v>7</v>
      </c>
    </row>
    <row r="32" spans="2:31" x14ac:dyDescent="0.35">
      <c r="B32" t="s">
        <v>19</v>
      </c>
      <c r="C32" t="s">
        <v>7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1</v>
      </c>
      <c r="T32">
        <v>1</v>
      </c>
      <c r="U32">
        <v>0</v>
      </c>
      <c r="V32">
        <v>0</v>
      </c>
      <c r="W32">
        <v>0</v>
      </c>
      <c r="X32">
        <f t="shared" si="1"/>
        <v>0</v>
      </c>
      <c r="AC32" t="s">
        <v>19</v>
      </c>
      <c r="AE32" t="s">
        <v>15</v>
      </c>
    </row>
    <row r="33" spans="2:31" x14ac:dyDescent="0.35">
      <c r="B33" t="s">
        <v>19</v>
      </c>
      <c r="C33" t="s">
        <v>15</v>
      </c>
      <c r="D33">
        <v>0</v>
      </c>
      <c r="E33">
        <v>0</v>
      </c>
      <c r="F33">
        <v>0</v>
      </c>
      <c r="G33">
        <v>0</v>
      </c>
      <c r="H33">
        <v>0</v>
      </c>
      <c r="I33">
        <v>-4.1666666666666664E-2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-6.0606060606060608E-2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-5.1136363636363636E-3</v>
      </c>
      <c r="AE33" t="s">
        <v>78</v>
      </c>
    </row>
    <row r="34" spans="2:31" x14ac:dyDescent="0.35">
      <c r="C34" t="s">
        <v>78</v>
      </c>
      <c r="AC34" t="s">
        <v>19</v>
      </c>
      <c r="AD34">
        <v>3</v>
      </c>
      <c r="AE34" t="s">
        <v>42</v>
      </c>
    </row>
    <row r="35" spans="2:31" x14ac:dyDescent="0.35">
      <c r="B35" t="s">
        <v>19</v>
      </c>
      <c r="C35" t="s">
        <v>42</v>
      </c>
      <c r="AC35" t="s">
        <v>19</v>
      </c>
      <c r="AE35" s="1" t="s">
        <v>43</v>
      </c>
    </row>
    <row r="36" spans="2:31" x14ac:dyDescent="0.35">
      <c r="B36" t="s">
        <v>19</v>
      </c>
      <c r="C36" t="s">
        <v>43</v>
      </c>
      <c r="AE36" t="s">
        <v>72</v>
      </c>
    </row>
    <row r="37" spans="2:31" x14ac:dyDescent="0.35">
      <c r="C37" t="s">
        <v>72</v>
      </c>
      <c r="AC37" t="s">
        <v>19</v>
      </c>
      <c r="AD37">
        <v>2</v>
      </c>
      <c r="AE37" t="s">
        <v>20</v>
      </c>
    </row>
    <row r="38" spans="2:31" x14ac:dyDescent="0.35">
      <c r="B38" t="s">
        <v>19</v>
      </c>
      <c r="C38" t="s">
        <v>20</v>
      </c>
      <c r="AC38" t="s">
        <v>19</v>
      </c>
      <c r="AD38">
        <v>2</v>
      </c>
      <c r="AE38" t="s">
        <v>21</v>
      </c>
    </row>
    <row r="39" spans="2:31" x14ac:dyDescent="0.35">
      <c r="B39" t="s">
        <v>19</v>
      </c>
      <c r="C39" t="s">
        <v>21</v>
      </c>
      <c r="AC39" t="s">
        <v>19</v>
      </c>
      <c r="AE39" t="s">
        <v>22</v>
      </c>
    </row>
    <row r="40" spans="2:31" x14ac:dyDescent="0.35">
      <c r="B40" t="s">
        <v>19</v>
      </c>
      <c r="C40" t="s">
        <v>22</v>
      </c>
      <c r="AC40" t="s">
        <v>23</v>
      </c>
      <c r="AD40">
        <v>11</v>
      </c>
      <c r="AE40" t="s">
        <v>0</v>
      </c>
    </row>
    <row r="41" spans="2:31" x14ac:dyDescent="0.35">
      <c r="B41" t="s">
        <v>23</v>
      </c>
      <c r="C41" t="s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7.6923076923076927E-2</v>
      </c>
      <c r="S41">
        <v>0</v>
      </c>
      <c r="T41">
        <v>0</v>
      </c>
      <c r="U41">
        <v>0</v>
      </c>
      <c r="V41">
        <v>0</v>
      </c>
      <c r="W41">
        <v>0</v>
      </c>
      <c r="X41">
        <v>3.8461538461538464E-3</v>
      </c>
      <c r="AC41" t="s">
        <v>23</v>
      </c>
      <c r="AE41" t="s">
        <v>15</v>
      </c>
    </row>
    <row r="42" spans="2:31" x14ac:dyDescent="0.35">
      <c r="B42" t="s">
        <v>23</v>
      </c>
      <c r="C42" t="s">
        <v>15</v>
      </c>
      <c r="D42">
        <v>0</v>
      </c>
      <c r="E42">
        <v>-0.04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-3.8461538461538464E-2</v>
      </c>
      <c r="S42">
        <v>0</v>
      </c>
      <c r="T42">
        <v>0</v>
      </c>
      <c r="U42">
        <v>0</v>
      </c>
      <c r="V42">
        <v>0</v>
      </c>
      <c r="W42">
        <v>0</v>
      </c>
      <c r="X42">
        <v>-3.9230769230769232E-3</v>
      </c>
      <c r="AC42" t="s">
        <v>23</v>
      </c>
      <c r="AD42">
        <v>7</v>
      </c>
      <c r="AE42" t="s">
        <v>4</v>
      </c>
    </row>
    <row r="43" spans="2:31" x14ac:dyDescent="0.35">
      <c r="B43" t="s">
        <v>23</v>
      </c>
      <c r="C43" t="s">
        <v>4</v>
      </c>
      <c r="D43">
        <v>0</v>
      </c>
      <c r="E43">
        <v>0.04</v>
      </c>
      <c r="F43">
        <v>0.1111111111111111</v>
      </c>
      <c r="G43">
        <v>0</v>
      </c>
      <c r="H43">
        <v>0.10526315789473684</v>
      </c>
      <c r="I43">
        <v>0.12903225806451613</v>
      </c>
      <c r="J43">
        <v>0</v>
      </c>
      <c r="K43">
        <v>0</v>
      </c>
      <c r="L43">
        <v>0</v>
      </c>
      <c r="M43">
        <v>0.1111111111111111</v>
      </c>
      <c r="N43">
        <v>0.13043478260869565</v>
      </c>
      <c r="O43">
        <v>4.3478260869565216E-2</v>
      </c>
      <c r="P43">
        <v>0</v>
      </c>
      <c r="Q43">
        <v>0.13793103448275862</v>
      </c>
      <c r="R43">
        <v>3.8461538461538464E-2</v>
      </c>
      <c r="S43">
        <v>0</v>
      </c>
      <c r="T43">
        <v>0.15384615384615385</v>
      </c>
      <c r="U43">
        <v>0.1</v>
      </c>
      <c r="V43">
        <v>7.6923076923076927E-2</v>
      </c>
      <c r="W43">
        <v>2.9411764705882353E-2</v>
      </c>
      <c r="X43">
        <v>6.03502125039573E-2</v>
      </c>
      <c r="AC43" t="s">
        <v>23</v>
      </c>
      <c r="AE43" t="s">
        <v>15</v>
      </c>
    </row>
    <row r="44" spans="2:31" x14ac:dyDescent="0.35">
      <c r="B44" t="s">
        <v>23</v>
      </c>
      <c r="C44" t="s">
        <v>15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AC44" t="s">
        <v>23</v>
      </c>
      <c r="AD44">
        <v>6</v>
      </c>
      <c r="AE44" t="s">
        <v>5</v>
      </c>
    </row>
    <row r="45" spans="2:31" x14ac:dyDescent="0.35">
      <c r="B45" t="s">
        <v>23</v>
      </c>
      <c r="C45" t="s">
        <v>5</v>
      </c>
      <c r="D45">
        <v>0.11764705882352941</v>
      </c>
      <c r="E45">
        <v>0.08</v>
      </c>
      <c r="F45">
        <v>0.1388888888888889</v>
      </c>
      <c r="G45">
        <v>0.15789473684210525</v>
      </c>
      <c r="H45">
        <v>5.2631578947368418E-2</v>
      </c>
      <c r="I45">
        <v>3.2258064516129031E-2</v>
      </c>
      <c r="J45">
        <v>0.2</v>
      </c>
      <c r="K45">
        <v>0.13333333333333333</v>
      </c>
      <c r="L45">
        <v>0</v>
      </c>
      <c r="M45">
        <v>0.1111111111111111</v>
      </c>
      <c r="N45">
        <v>8.6956521739130432E-2</v>
      </c>
      <c r="O45">
        <v>0.17391304347826086</v>
      </c>
      <c r="P45">
        <v>5.5555555555555552E-2</v>
      </c>
      <c r="Q45">
        <v>6.8965517241379309E-2</v>
      </c>
      <c r="R45">
        <v>0.11538461538461539</v>
      </c>
      <c r="S45">
        <v>0.22222222222222221</v>
      </c>
      <c r="T45">
        <v>7.6923076923076927E-2</v>
      </c>
      <c r="U45">
        <v>0.1</v>
      </c>
      <c r="V45">
        <v>0.15384615384615385</v>
      </c>
      <c r="W45">
        <v>5.8823529411764705E-2</v>
      </c>
      <c r="X45">
        <v>0.10681775041323123</v>
      </c>
      <c r="AC45" t="s">
        <v>23</v>
      </c>
      <c r="AE45" t="s">
        <v>15</v>
      </c>
    </row>
    <row r="46" spans="2:31" x14ac:dyDescent="0.35">
      <c r="B46" t="s">
        <v>23</v>
      </c>
      <c r="C46" t="s">
        <v>15</v>
      </c>
      <c r="D46">
        <v>0</v>
      </c>
      <c r="E46">
        <v>-0.08</v>
      </c>
      <c r="F46">
        <v>0</v>
      </c>
      <c r="G46">
        <v>0</v>
      </c>
      <c r="H46">
        <v>-0.10526315789473684</v>
      </c>
      <c r="I46">
        <v>-6.4516129032258063E-2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-5.5555555555555552E-2</v>
      </c>
      <c r="Q46">
        <v>-3.4482758620689655E-2</v>
      </c>
      <c r="R46">
        <v>-3.8461538461538464E-2</v>
      </c>
      <c r="S46">
        <v>0</v>
      </c>
      <c r="T46">
        <v>0</v>
      </c>
      <c r="U46">
        <v>0</v>
      </c>
      <c r="V46">
        <v>-2.564102564102564E-2</v>
      </c>
      <c r="W46">
        <v>-2.9411764705882353E-2</v>
      </c>
      <c r="X46">
        <v>-2.1666596495584334E-2</v>
      </c>
      <c r="AC46" t="s">
        <v>23</v>
      </c>
      <c r="AD46">
        <v>4</v>
      </c>
      <c r="AE46" t="s">
        <v>6</v>
      </c>
    </row>
    <row r="47" spans="2:31" x14ac:dyDescent="0.35">
      <c r="B47" t="s">
        <v>23</v>
      </c>
      <c r="C47" t="s">
        <v>6</v>
      </c>
      <c r="D47">
        <v>0</v>
      </c>
      <c r="E47">
        <v>0</v>
      </c>
      <c r="F47">
        <v>2.7777777777777776E-2</v>
      </c>
      <c r="G47">
        <v>0</v>
      </c>
      <c r="H47">
        <v>0</v>
      </c>
      <c r="I47">
        <v>0</v>
      </c>
      <c r="J47">
        <v>0</v>
      </c>
      <c r="K47">
        <v>6.6666666666666666E-2</v>
      </c>
      <c r="L47">
        <v>0</v>
      </c>
      <c r="M47">
        <v>0</v>
      </c>
      <c r="N47">
        <v>4.3478260869565216E-2</v>
      </c>
      <c r="O47">
        <v>0</v>
      </c>
      <c r="P47">
        <v>0</v>
      </c>
      <c r="Q47">
        <v>3.4482758620689655E-2</v>
      </c>
      <c r="R47">
        <v>7.6923076923076927E-2</v>
      </c>
      <c r="S47">
        <v>0</v>
      </c>
      <c r="T47">
        <v>0</v>
      </c>
      <c r="U47">
        <v>0</v>
      </c>
      <c r="V47">
        <v>2.564102564102564E-2</v>
      </c>
      <c r="W47">
        <v>5.8823529411764705E-2</v>
      </c>
      <c r="X47">
        <v>1.6689654795528329E-2</v>
      </c>
      <c r="AC47" t="s">
        <v>23</v>
      </c>
      <c r="AE47" t="s">
        <v>15</v>
      </c>
    </row>
    <row r="48" spans="2:31" x14ac:dyDescent="0.35">
      <c r="B48" t="s">
        <v>23</v>
      </c>
      <c r="C48" t="s">
        <v>15</v>
      </c>
      <c r="D48">
        <v>0</v>
      </c>
      <c r="E48">
        <v>0</v>
      </c>
      <c r="F48">
        <v>-2.7777777777777776E-2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-1.3888888888888887E-3</v>
      </c>
      <c r="AC48" t="s">
        <v>23</v>
      </c>
      <c r="AD48">
        <v>6</v>
      </c>
      <c r="AE48" t="s">
        <v>7</v>
      </c>
    </row>
    <row r="49" spans="2:33" x14ac:dyDescent="0.35">
      <c r="B49" t="s">
        <v>23</v>
      </c>
      <c r="C49" t="s">
        <v>7</v>
      </c>
      <c r="D49">
        <v>5.8823529411764705E-2</v>
      </c>
      <c r="E49">
        <v>0.2</v>
      </c>
      <c r="F49">
        <v>0.1388888888888889</v>
      </c>
      <c r="G49">
        <v>0</v>
      </c>
      <c r="H49">
        <v>0.10526315789473684</v>
      </c>
      <c r="I49">
        <v>6.4516129032258063E-2</v>
      </c>
      <c r="J49">
        <v>0</v>
      </c>
      <c r="K49">
        <v>0</v>
      </c>
      <c r="L49">
        <v>0</v>
      </c>
      <c r="M49">
        <v>0.1111111111111111</v>
      </c>
      <c r="N49">
        <v>4.3478260869565216E-2</v>
      </c>
      <c r="O49">
        <v>0.13043478260869565</v>
      </c>
      <c r="P49">
        <v>0</v>
      </c>
      <c r="Q49">
        <v>0.13793103448275862</v>
      </c>
      <c r="R49">
        <v>3.8461538461538464E-2</v>
      </c>
      <c r="S49">
        <v>0</v>
      </c>
      <c r="T49">
        <v>7.6923076923076927E-2</v>
      </c>
      <c r="U49">
        <v>0.2</v>
      </c>
      <c r="V49">
        <v>2.564102564102564E-2</v>
      </c>
      <c r="W49">
        <v>0.11764705882352941</v>
      </c>
      <c r="X49">
        <v>7.2455979707447465E-2</v>
      </c>
      <c r="AC49" t="s">
        <v>23</v>
      </c>
      <c r="AE49" t="s">
        <v>15</v>
      </c>
    </row>
    <row r="50" spans="2:33" x14ac:dyDescent="0.35">
      <c r="B50" t="s">
        <v>23</v>
      </c>
      <c r="C50" t="s">
        <v>15</v>
      </c>
      <c r="D50">
        <v>0</v>
      </c>
      <c r="E50">
        <v>0</v>
      </c>
      <c r="F50">
        <v>0</v>
      </c>
      <c r="G50">
        <v>-0.10526315789473684</v>
      </c>
      <c r="H50">
        <v>0</v>
      </c>
      <c r="I50">
        <v>-9.6774193548387094E-2</v>
      </c>
      <c r="J50">
        <v>-0.2</v>
      </c>
      <c r="K50">
        <v>-6.6666666666666666E-2</v>
      </c>
      <c r="L50">
        <v>0</v>
      </c>
      <c r="M50">
        <v>0</v>
      </c>
      <c r="N50">
        <v>-4.3478260869565216E-2</v>
      </c>
      <c r="O50">
        <v>0</v>
      </c>
      <c r="P50">
        <v>-0.1111111111111111</v>
      </c>
      <c r="Q50">
        <v>0</v>
      </c>
      <c r="R50">
        <v>0</v>
      </c>
      <c r="S50">
        <v>-0.1111111111111111</v>
      </c>
      <c r="T50">
        <v>0</v>
      </c>
      <c r="U50">
        <v>0</v>
      </c>
      <c r="V50">
        <v>-2.564102564102564E-2</v>
      </c>
      <c r="W50">
        <v>0</v>
      </c>
      <c r="X50">
        <v>-3.8002276342130187E-2</v>
      </c>
      <c r="AE50" t="s">
        <v>78</v>
      </c>
    </row>
    <row r="51" spans="2:33" x14ac:dyDescent="0.35">
      <c r="AC51" t="s">
        <v>23</v>
      </c>
      <c r="AD51">
        <v>5</v>
      </c>
      <c r="AE51" t="s">
        <v>42</v>
      </c>
    </row>
    <row r="52" spans="2:33" x14ac:dyDescent="0.35">
      <c r="B52" t="s">
        <v>23</v>
      </c>
      <c r="C52" t="s">
        <v>42</v>
      </c>
      <c r="AC52" t="s">
        <v>23</v>
      </c>
      <c r="AE52" t="s">
        <v>43</v>
      </c>
    </row>
    <row r="53" spans="2:33" x14ac:dyDescent="0.35">
      <c r="B53" t="s">
        <v>23</v>
      </c>
      <c r="C53" t="s">
        <v>43</v>
      </c>
      <c r="AE53" t="s">
        <v>72</v>
      </c>
    </row>
    <row r="54" spans="2:33" x14ac:dyDescent="0.35">
      <c r="C54" t="s">
        <v>72</v>
      </c>
      <c r="AC54" t="s">
        <v>23</v>
      </c>
      <c r="AD54">
        <v>2</v>
      </c>
      <c r="AE54" t="s">
        <v>20</v>
      </c>
    </row>
    <row r="55" spans="2:33" x14ac:dyDescent="0.35">
      <c r="B55" t="s">
        <v>23</v>
      </c>
      <c r="C55" t="s">
        <v>20</v>
      </c>
      <c r="AC55" t="s">
        <v>23</v>
      </c>
      <c r="AD55">
        <v>2</v>
      </c>
      <c r="AE55" t="s">
        <v>21</v>
      </c>
    </row>
    <row r="56" spans="2:33" x14ac:dyDescent="0.35">
      <c r="B56" t="s">
        <v>23</v>
      </c>
      <c r="C56" t="s">
        <v>21</v>
      </c>
      <c r="AC56" t="s">
        <v>23</v>
      </c>
      <c r="AE56" t="s">
        <v>68</v>
      </c>
    </row>
    <row r="57" spans="2:33" x14ac:dyDescent="0.35">
      <c r="B57" t="s">
        <v>23</v>
      </c>
      <c r="C57" t="s">
        <v>68</v>
      </c>
      <c r="AC57" t="s">
        <v>24</v>
      </c>
      <c r="AD57">
        <v>11</v>
      </c>
      <c r="AE57" t="s">
        <v>0</v>
      </c>
      <c r="AG57">
        <f>11/62</f>
        <v>0.17741935483870969</v>
      </c>
    </row>
    <row r="58" spans="2:33" x14ac:dyDescent="0.35">
      <c r="B58" t="s">
        <v>24</v>
      </c>
      <c r="C58" t="s">
        <v>0</v>
      </c>
      <c r="D58">
        <v>0.17647058823529413</v>
      </c>
      <c r="E58">
        <v>0.16666666666666666</v>
      </c>
      <c r="F58">
        <v>0.10256410256410256</v>
      </c>
      <c r="G58">
        <v>0.12903225806451613</v>
      </c>
      <c r="H58">
        <v>0.16666666666666666</v>
      </c>
      <c r="I58">
        <v>6.9767441860465115E-2</v>
      </c>
      <c r="J58">
        <v>0.2</v>
      </c>
      <c r="K58">
        <v>0.1276595744680851</v>
      </c>
      <c r="L58">
        <v>0.25</v>
      </c>
      <c r="M58">
        <v>0.15789473684210525</v>
      </c>
      <c r="N58">
        <v>0.125</v>
      </c>
      <c r="O58">
        <v>0.14285714285714285</v>
      </c>
      <c r="P58">
        <v>0.23809523809523808</v>
      </c>
      <c r="Q58">
        <v>0.125</v>
      </c>
      <c r="R58">
        <v>0.16666666666666666</v>
      </c>
      <c r="S58">
        <v>0.23076923076923078</v>
      </c>
      <c r="T58">
        <v>0.11764705882352941</v>
      </c>
      <c r="U58">
        <v>0.14285714285714285</v>
      </c>
      <c r="V58">
        <v>0.10344827586206896</v>
      </c>
      <c r="W58">
        <v>0.13333333333333333</v>
      </c>
      <c r="X58">
        <v>0.1536198062316127</v>
      </c>
      <c r="AC58" t="s">
        <v>24</v>
      </c>
      <c r="AE58" t="s">
        <v>15</v>
      </c>
    </row>
    <row r="59" spans="2:33" x14ac:dyDescent="0.35">
      <c r="B59" t="s">
        <v>24</v>
      </c>
      <c r="C59" t="s">
        <v>15</v>
      </c>
      <c r="D59">
        <v>0</v>
      </c>
      <c r="E59">
        <v>-4.1666666666666664E-2</v>
      </c>
      <c r="F59">
        <v>0</v>
      </c>
      <c r="G59">
        <v>0</v>
      </c>
      <c r="H59">
        <v>0</v>
      </c>
      <c r="I59">
        <v>0</v>
      </c>
      <c r="J59">
        <v>-0.05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-4.5833333333333334E-3</v>
      </c>
      <c r="AC59" t="s">
        <v>24</v>
      </c>
      <c r="AD59">
        <v>7</v>
      </c>
      <c r="AE59" t="s">
        <v>4</v>
      </c>
      <c r="AG59">
        <f>7/62</f>
        <v>0.11290322580645161</v>
      </c>
    </row>
    <row r="60" spans="2:33" x14ac:dyDescent="0.35">
      <c r="B60" t="s">
        <v>24</v>
      </c>
      <c r="C60" t="s">
        <v>4</v>
      </c>
      <c r="D60">
        <v>0</v>
      </c>
      <c r="E60">
        <v>0.125</v>
      </c>
      <c r="F60">
        <v>0.15384615384615385</v>
      </c>
      <c r="G60">
        <v>0.16129032258064516</v>
      </c>
      <c r="H60">
        <v>0.16666666666666666</v>
      </c>
      <c r="I60">
        <v>0.18604651162790697</v>
      </c>
      <c r="J60">
        <v>0.05</v>
      </c>
      <c r="K60">
        <v>0.14893617021276595</v>
      </c>
      <c r="L60">
        <v>6.25E-2</v>
      </c>
      <c r="M60">
        <v>0.15789473684210525</v>
      </c>
      <c r="N60">
        <v>0.16666666666666666</v>
      </c>
      <c r="O60">
        <v>0.10714285714285714</v>
      </c>
      <c r="P60">
        <v>4.7619047619047616E-2</v>
      </c>
      <c r="Q60">
        <v>0.125</v>
      </c>
      <c r="R60">
        <v>8.3333333333333329E-2</v>
      </c>
      <c r="S60">
        <v>7.6923076923076927E-2</v>
      </c>
      <c r="T60">
        <v>0.14705882352941177</v>
      </c>
      <c r="U60">
        <v>0.14285714285714285</v>
      </c>
      <c r="V60">
        <v>0.17241379310344829</v>
      </c>
      <c r="W60">
        <v>8.8888888888888892E-2</v>
      </c>
      <c r="X60">
        <v>0.11850420959200587</v>
      </c>
      <c r="AC60" t="s">
        <v>24</v>
      </c>
      <c r="AE60" t="s">
        <v>15</v>
      </c>
    </row>
    <row r="61" spans="2:33" x14ac:dyDescent="0.35">
      <c r="B61" t="s">
        <v>24</v>
      </c>
      <c r="C61" t="s">
        <v>15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-3.5714285714285712E-2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-4.4444444444444446E-2</v>
      </c>
      <c r="X61">
        <v>-4.0079365079365072E-3</v>
      </c>
      <c r="AC61" t="s">
        <v>24</v>
      </c>
      <c r="AD61">
        <v>6</v>
      </c>
      <c r="AE61" t="s">
        <v>5</v>
      </c>
      <c r="AG61">
        <f>6/62</f>
        <v>9.6774193548387094E-2</v>
      </c>
    </row>
    <row r="62" spans="2:33" x14ac:dyDescent="0.35">
      <c r="B62" t="s">
        <v>24</v>
      </c>
      <c r="C62" t="s">
        <v>5</v>
      </c>
      <c r="D62">
        <v>0.11764705882352941</v>
      </c>
      <c r="E62">
        <v>0.125</v>
      </c>
      <c r="F62">
        <v>0.12820512820512819</v>
      </c>
      <c r="G62">
        <v>0.12903225806451613</v>
      </c>
      <c r="H62">
        <v>5.5555555555555552E-2</v>
      </c>
      <c r="I62">
        <v>9.3023255813953487E-2</v>
      </c>
      <c r="J62">
        <v>0.15</v>
      </c>
      <c r="K62">
        <v>6.3829787234042548E-2</v>
      </c>
      <c r="L62">
        <v>0.1875</v>
      </c>
      <c r="M62">
        <v>0.15789473684210525</v>
      </c>
      <c r="N62">
        <v>4.1666666666666664E-2</v>
      </c>
      <c r="O62">
        <v>0.14285714285714285</v>
      </c>
      <c r="P62">
        <v>0.14285714285714285</v>
      </c>
      <c r="Q62">
        <v>8.3333333333333329E-2</v>
      </c>
      <c r="R62">
        <v>0.125</v>
      </c>
      <c r="S62">
        <v>7.6923076923076927E-2</v>
      </c>
      <c r="T62">
        <v>0.11764705882352941</v>
      </c>
      <c r="U62">
        <v>0.14285714285714285</v>
      </c>
      <c r="V62">
        <v>0.13793103448275862</v>
      </c>
      <c r="W62">
        <v>0.1111111111111111</v>
      </c>
      <c r="X62">
        <v>0.11649357452253677</v>
      </c>
      <c r="AC62" t="s">
        <v>24</v>
      </c>
      <c r="AE62" t="s">
        <v>15</v>
      </c>
    </row>
    <row r="63" spans="2:33" x14ac:dyDescent="0.35">
      <c r="B63" t="s">
        <v>24</v>
      </c>
      <c r="C63" t="s">
        <v>15</v>
      </c>
      <c r="D63">
        <v>-5.8823529411764705E-2</v>
      </c>
      <c r="E63">
        <v>0</v>
      </c>
      <c r="F63">
        <v>-2.564102564102564E-2</v>
      </c>
      <c r="G63">
        <v>0</v>
      </c>
      <c r="H63">
        <v>-5.5555555555555552E-2</v>
      </c>
      <c r="I63">
        <v>-2.3255813953488372E-2</v>
      </c>
      <c r="J63">
        <v>0</v>
      </c>
      <c r="K63">
        <v>-0.10638297872340426</v>
      </c>
      <c r="L63">
        <v>0</v>
      </c>
      <c r="M63">
        <v>0</v>
      </c>
      <c r="N63">
        <v>-4.1666666666666664E-2</v>
      </c>
      <c r="O63">
        <v>0</v>
      </c>
      <c r="P63">
        <v>0</v>
      </c>
      <c r="Q63">
        <v>-8.3333333333333329E-2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-1.9732945164261925E-2</v>
      </c>
      <c r="AC63" t="s">
        <v>24</v>
      </c>
      <c r="AD63">
        <v>4</v>
      </c>
      <c r="AE63" t="s">
        <v>6</v>
      </c>
      <c r="AG63">
        <f>4/62</f>
        <v>6.4516129032258063E-2</v>
      </c>
    </row>
    <row r="64" spans="2:33" x14ac:dyDescent="0.35">
      <c r="B64" t="s">
        <v>24</v>
      </c>
      <c r="C64" t="s">
        <v>6</v>
      </c>
      <c r="D64">
        <v>0</v>
      </c>
      <c r="E64">
        <v>0</v>
      </c>
      <c r="F64">
        <v>7.6923076923076927E-2</v>
      </c>
      <c r="G64">
        <v>3.2258064516129031E-2</v>
      </c>
      <c r="H64">
        <v>0</v>
      </c>
      <c r="I64">
        <v>4.6511627906976744E-2</v>
      </c>
      <c r="J64">
        <v>0.05</v>
      </c>
      <c r="K64">
        <v>4.2553191489361701E-2</v>
      </c>
      <c r="L64">
        <v>0</v>
      </c>
      <c r="M64">
        <v>5.2631578947368418E-2</v>
      </c>
      <c r="N64">
        <v>0</v>
      </c>
      <c r="O64">
        <v>7.1428571428571425E-2</v>
      </c>
      <c r="P64">
        <v>4.7619047619047616E-2</v>
      </c>
      <c r="Q64">
        <v>0.125</v>
      </c>
      <c r="R64">
        <v>4.1666666666666664E-2</v>
      </c>
      <c r="S64">
        <v>7.6923076923076927E-2</v>
      </c>
      <c r="T64">
        <v>2.9411764705882353E-2</v>
      </c>
      <c r="U64">
        <v>9.5238095238095233E-2</v>
      </c>
      <c r="V64">
        <v>6.8965517241379309E-2</v>
      </c>
      <c r="W64">
        <v>0.13333333333333333</v>
      </c>
      <c r="X64">
        <v>4.9523180646948287E-2</v>
      </c>
      <c r="AC64" t="s">
        <v>24</v>
      </c>
      <c r="AE64" t="s">
        <v>15</v>
      </c>
    </row>
    <row r="65" spans="2:33" x14ac:dyDescent="0.35">
      <c r="B65" t="s">
        <v>24</v>
      </c>
      <c r="C65" t="s">
        <v>15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-2.3809523809523808E-2</v>
      </c>
      <c r="V65">
        <v>0</v>
      </c>
      <c r="W65">
        <v>0</v>
      </c>
      <c r="X65">
        <v>-1.1904761904761904E-3</v>
      </c>
      <c r="AC65" t="s">
        <v>24</v>
      </c>
      <c r="AD65">
        <v>6</v>
      </c>
      <c r="AE65" t="s">
        <v>7</v>
      </c>
      <c r="AG65">
        <f>6/62</f>
        <v>9.6774193548387094E-2</v>
      </c>
    </row>
    <row r="66" spans="2:33" x14ac:dyDescent="0.35">
      <c r="B66" t="s">
        <v>24</v>
      </c>
      <c r="C66" t="s">
        <v>7</v>
      </c>
      <c r="D66">
        <v>0</v>
      </c>
      <c r="E66">
        <v>0</v>
      </c>
      <c r="F66">
        <v>7.6923076923076927E-2</v>
      </c>
      <c r="G66">
        <v>9.6774193548387094E-2</v>
      </c>
      <c r="H66">
        <v>5.5555555555555552E-2</v>
      </c>
      <c r="I66">
        <v>9.3023255813953487E-2</v>
      </c>
      <c r="J66">
        <v>0.15</v>
      </c>
      <c r="K66">
        <v>6.3829787234042548E-2</v>
      </c>
      <c r="L66">
        <v>0</v>
      </c>
      <c r="M66">
        <v>0.10526315789473684</v>
      </c>
      <c r="N66">
        <v>0.125</v>
      </c>
      <c r="O66">
        <v>0.10714285714285714</v>
      </c>
      <c r="P66">
        <v>9.5238095238095233E-2</v>
      </c>
      <c r="Q66">
        <v>0</v>
      </c>
      <c r="R66">
        <v>8.3333333333333329E-2</v>
      </c>
      <c r="S66">
        <v>7.6923076923076927E-2</v>
      </c>
      <c r="T66">
        <v>0.11764705882352941</v>
      </c>
      <c r="U66">
        <v>0.11904761904761904</v>
      </c>
      <c r="V66">
        <v>6.8965517241379309E-2</v>
      </c>
      <c r="W66">
        <v>4.4444444444444446E-2</v>
      </c>
      <c r="X66">
        <v>7.3955551458204358E-2</v>
      </c>
      <c r="AC66" t="s">
        <v>24</v>
      </c>
      <c r="AE66" t="s">
        <v>15</v>
      </c>
    </row>
    <row r="67" spans="2:33" x14ac:dyDescent="0.35">
      <c r="B67" t="s">
        <v>24</v>
      </c>
      <c r="C67" t="s">
        <v>15</v>
      </c>
      <c r="D67">
        <v>0</v>
      </c>
      <c r="E67">
        <v>-8.3333333333333329E-2</v>
      </c>
      <c r="F67">
        <v>0</v>
      </c>
      <c r="G67">
        <v>-3.2258064516129031E-2</v>
      </c>
      <c r="H67">
        <v>0</v>
      </c>
      <c r="I67">
        <v>-2.3255813953488372E-2</v>
      </c>
      <c r="J67">
        <v>0</v>
      </c>
      <c r="K67">
        <v>0</v>
      </c>
      <c r="L67">
        <v>-6.25E-2</v>
      </c>
      <c r="M67">
        <v>-5.2631578947368418E-2</v>
      </c>
      <c r="N67">
        <v>0</v>
      </c>
      <c r="O67">
        <v>0</v>
      </c>
      <c r="P67">
        <v>-4.7619047619047616E-2</v>
      </c>
      <c r="Q67">
        <v>-4.1666666666666664E-2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-1.7163225251801674E-2</v>
      </c>
      <c r="AD67">
        <v>62</v>
      </c>
      <c r="AE67" t="s">
        <v>78</v>
      </c>
    </row>
    <row r="68" spans="2:33" x14ac:dyDescent="0.35">
      <c r="AD68">
        <v>5</v>
      </c>
      <c r="AE68" t="s">
        <v>42</v>
      </c>
    </row>
    <row r="69" spans="2:33" x14ac:dyDescent="0.35">
      <c r="AE69" t="s">
        <v>43</v>
      </c>
    </row>
    <row r="70" spans="2:33" x14ac:dyDescent="0.35">
      <c r="AE70" t="s">
        <v>72</v>
      </c>
    </row>
    <row r="71" spans="2:33" x14ac:dyDescent="0.35">
      <c r="AD71">
        <v>2</v>
      </c>
      <c r="AE71" t="s">
        <v>20</v>
      </c>
    </row>
    <row r="72" spans="2:33" x14ac:dyDescent="0.35">
      <c r="AD72">
        <v>2</v>
      </c>
      <c r="AE72" t="s">
        <v>21</v>
      </c>
    </row>
    <row r="73" spans="2:33" x14ac:dyDescent="0.35">
      <c r="AE73" t="s">
        <v>22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A5136-6FA8-47B3-9182-E008B829EB3C}">
  <dimension ref="B1:AH89"/>
  <sheetViews>
    <sheetView topLeftCell="A15" zoomScale="79" workbookViewId="0">
      <selection activeCell="AD40" sqref="AD40"/>
    </sheetView>
  </sheetViews>
  <sheetFormatPr baseColWidth="10" defaultRowHeight="14.5" x14ac:dyDescent="0.35"/>
  <sheetData>
    <row r="1" spans="2:34" x14ac:dyDescent="0.35">
      <c r="B1" s="2" t="s">
        <v>108</v>
      </c>
      <c r="C1" s="2"/>
      <c r="D1" s="2"/>
      <c r="E1" s="2"/>
      <c r="F1" s="2"/>
      <c r="G1" s="2"/>
      <c r="H1" s="2"/>
      <c r="I1" s="2"/>
      <c r="J1" s="2"/>
    </row>
    <row r="2" spans="2:34" x14ac:dyDescent="0.35">
      <c r="B2" s="2" t="s">
        <v>109</v>
      </c>
      <c r="C2" s="2"/>
      <c r="D2" s="2"/>
      <c r="E2" s="2"/>
      <c r="F2" s="2"/>
      <c r="G2" s="2"/>
      <c r="H2" s="2"/>
      <c r="I2" s="2"/>
      <c r="J2" s="2"/>
    </row>
    <row r="3" spans="2:34" x14ac:dyDescent="0.35">
      <c r="B3" t="s">
        <v>110</v>
      </c>
      <c r="N3" t="s">
        <v>128</v>
      </c>
      <c r="AG3" t="s">
        <v>18</v>
      </c>
      <c r="AH3" t="s">
        <v>19</v>
      </c>
    </row>
    <row r="4" spans="2:34" x14ac:dyDescent="0.35">
      <c r="F4" t="s">
        <v>86</v>
      </c>
      <c r="G4" t="s">
        <v>83</v>
      </c>
      <c r="H4" t="s">
        <v>82</v>
      </c>
      <c r="I4" t="s">
        <v>81</v>
      </c>
      <c r="J4" t="s">
        <v>80</v>
      </c>
      <c r="N4" t="s">
        <v>129</v>
      </c>
      <c r="AF4" t="s">
        <v>0</v>
      </c>
      <c r="AG4">
        <v>0</v>
      </c>
      <c r="AH4">
        <v>3</v>
      </c>
    </row>
    <row r="5" spans="2:34" x14ac:dyDescent="0.35">
      <c r="G5">
        <v>3</v>
      </c>
      <c r="H5">
        <v>2</v>
      </c>
      <c r="I5">
        <v>1</v>
      </c>
      <c r="J5">
        <v>0</v>
      </c>
      <c r="AF5" t="s">
        <v>14</v>
      </c>
      <c r="AG5">
        <v>0</v>
      </c>
      <c r="AH5">
        <v>0</v>
      </c>
    </row>
    <row r="6" spans="2:34" x14ac:dyDescent="0.35">
      <c r="AF6" t="s">
        <v>4</v>
      </c>
      <c r="AG6">
        <v>2</v>
      </c>
      <c r="AH6">
        <v>3</v>
      </c>
    </row>
    <row r="7" spans="2:34" x14ac:dyDescent="0.35">
      <c r="B7" t="s">
        <v>84</v>
      </c>
      <c r="D7" t="s">
        <v>85</v>
      </c>
      <c r="G7">
        <v>3</v>
      </c>
      <c r="H7">
        <v>2</v>
      </c>
      <c r="I7">
        <v>1</v>
      </c>
      <c r="J7">
        <v>0</v>
      </c>
      <c r="AF7" t="s">
        <v>16</v>
      </c>
      <c r="AG7">
        <v>0</v>
      </c>
      <c r="AH7">
        <v>0</v>
      </c>
    </row>
    <row r="8" spans="2:34" x14ac:dyDescent="0.35">
      <c r="B8">
        <v>0.21875</v>
      </c>
      <c r="D8">
        <v>0.17741935483870969</v>
      </c>
      <c r="F8" t="s">
        <v>0</v>
      </c>
      <c r="G8" t="s">
        <v>87</v>
      </c>
      <c r="H8" t="s">
        <v>99</v>
      </c>
      <c r="I8" t="s">
        <v>89</v>
      </c>
      <c r="J8" t="s">
        <v>88</v>
      </c>
      <c r="AF8" t="s">
        <v>5</v>
      </c>
      <c r="AG8">
        <v>3</v>
      </c>
      <c r="AH8">
        <v>3</v>
      </c>
    </row>
    <row r="9" spans="2:34" x14ac:dyDescent="0.35">
      <c r="AF9" t="s">
        <v>66</v>
      </c>
      <c r="AG9">
        <v>0</v>
      </c>
      <c r="AH9">
        <v>0</v>
      </c>
    </row>
    <row r="10" spans="2:34" x14ac:dyDescent="0.35">
      <c r="B10">
        <v>0.125</v>
      </c>
      <c r="D10">
        <v>0.11290322580645161</v>
      </c>
      <c r="F10" t="s">
        <v>4</v>
      </c>
      <c r="G10" t="s">
        <v>91</v>
      </c>
      <c r="H10" t="s">
        <v>98</v>
      </c>
      <c r="I10" t="s">
        <v>93</v>
      </c>
      <c r="J10" t="s">
        <v>94</v>
      </c>
      <c r="AF10" t="s">
        <v>6</v>
      </c>
      <c r="AG10">
        <v>0</v>
      </c>
      <c r="AH10">
        <v>1</v>
      </c>
    </row>
    <row r="11" spans="2:34" x14ac:dyDescent="0.35">
      <c r="AF11" t="s">
        <v>15</v>
      </c>
      <c r="AG11">
        <v>0</v>
      </c>
      <c r="AH11">
        <v>0</v>
      </c>
    </row>
    <row r="12" spans="2:34" x14ac:dyDescent="0.35">
      <c r="B12">
        <v>9.375E-2</v>
      </c>
      <c r="D12">
        <v>9.6774193548387094E-2</v>
      </c>
      <c r="F12" t="s">
        <v>5</v>
      </c>
      <c r="G12" t="s">
        <v>95</v>
      </c>
      <c r="H12" t="s">
        <v>97</v>
      </c>
      <c r="I12" t="s">
        <v>92</v>
      </c>
      <c r="J12" t="s">
        <v>94</v>
      </c>
      <c r="AF12" t="s">
        <v>7</v>
      </c>
      <c r="AG12">
        <v>3</v>
      </c>
      <c r="AH12">
        <v>3</v>
      </c>
    </row>
    <row r="13" spans="2:34" x14ac:dyDescent="0.35">
      <c r="AF13" t="s">
        <v>15</v>
      </c>
      <c r="AG13">
        <v>-1</v>
      </c>
      <c r="AH13">
        <v>0</v>
      </c>
    </row>
    <row r="14" spans="2:34" x14ac:dyDescent="0.35">
      <c r="B14">
        <v>0</v>
      </c>
      <c r="D14">
        <v>6.4516129032258063E-2</v>
      </c>
      <c r="F14" t="s">
        <v>6</v>
      </c>
      <c r="G14" t="s">
        <v>96</v>
      </c>
      <c r="H14" t="s">
        <v>100</v>
      </c>
      <c r="I14" t="s">
        <v>101</v>
      </c>
      <c r="J14" t="s">
        <v>102</v>
      </c>
    </row>
    <row r="16" spans="2:34" x14ac:dyDescent="0.35">
      <c r="B16">
        <v>6.25E-2</v>
      </c>
      <c r="D16">
        <v>9.6774193548387094E-2</v>
      </c>
      <c r="F16" t="s">
        <v>106</v>
      </c>
      <c r="G16" t="s">
        <v>96</v>
      </c>
      <c r="H16" t="s">
        <v>100</v>
      </c>
      <c r="I16" t="s">
        <v>101</v>
      </c>
      <c r="J16" t="s">
        <v>102</v>
      </c>
      <c r="K16" t="s">
        <v>103</v>
      </c>
    </row>
    <row r="19" spans="2:33" x14ac:dyDescent="0.35">
      <c r="D19" s="3" t="s">
        <v>111</v>
      </c>
    </row>
    <row r="20" spans="2:33" x14ac:dyDescent="0.35">
      <c r="B20" t="s">
        <v>104</v>
      </c>
    </row>
    <row r="21" spans="2:33" x14ac:dyDescent="0.35">
      <c r="D21" t="s">
        <v>44</v>
      </c>
      <c r="E21" t="s">
        <v>45</v>
      </c>
      <c r="F21" t="s">
        <v>46</v>
      </c>
      <c r="G21" t="s">
        <v>47</v>
      </c>
      <c r="H21" t="s">
        <v>48</v>
      </c>
      <c r="I21" t="s">
        <v>49</v>
      </c>
      <c r="J21" t="s">
        <v>50</v>
      </c>
      <c r="K21" t="s">
        <v>51</v>
      </c>
      <c r="L21" t="s">
        <v>52</v>
      </c>
      <c r="M21" t="s">
        <v>53</v>
      </c>
      <c r="N21" t="s">
        <v>54</v>
      </c>
      <c r="O21" t="s">
        <v>55</v>
      </c>
      <c r="P21" t="s">
        <v>56</v>
      </c>
      <c r="Q21" t="s">
        <v>57</v>
      </c>
      <c r="R21" t="s">
        <v>58</v>
      </c>
      <c r="S21" t="s">
        <v>59</v>
      </c>
      <c r="T21" t="s">
        <v>60</v>
      </c>
      <c r="U21" t="s">
        <v>61</v>
      </c>
      <c r="V21" t="s">
        <v>62</v>
      </c>
      <c r="W21" t="s">
        <v>63</v>
      </c>
      <c r="X21" t="s">
        <v>73</v>
      </c>
      <c r="Y21" t="s">
        <v>130</v>
      </c>
      <c r="Z21" t="s">
        <v>133</v>
      </c>
      <c r="AA21" t="s">
        <v>131</v>
      </c>
      <c r="AD21" t="s">
        <v>124</v>
      </c>
      <c r="AF21" t="s">
        <v>125</v>
      </c>
      <c r="AG21" t="s">
        <v>133</v>
      </c>
    </row>
    <row r="22" spans="2:33" x14ac:dyDescent="0.35">
      <c r="B22" t="s">
        <v>18</v>
      </c>
      <c r="C22" t="s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f>AVERAGE(D22:W22)</f>
        <v>0.05</v>
      </c>
      <c r="Y22">
        <f>_xlfn.STDEV.S(D22:W22)</f>
        <v>0.22360679774997896</v>
      </c>
      <c r="Z22">
        <f>Y22/X22</f>
        <v>4.4721359549995787</v>
      </c>
      <c r="AA22">
        <f>_xlfn.VAR.S(D22:W22)</f>
        <v>4.9999999999999996E-2</v>
      </c>
      <c r="AD22">
        <v>2.7027027027027029E-3</v>
      </c>
      <c r="AE22" t="s">
        <v>0</v>
      </c>
      <c r="AF22">
        <v>0</v>
      </c>
      <c r="AG22">
        <v>0</v>
      </c>
    </row>
    <row r="23" spans="2:33" x14ac:dyDescent="0.35">
      <c r="B23" t="s">
        <v>18</v>
      </c>
      <c r="C23" t="s">
        <v>14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f t="shared" ref="X23:X81" si="0">AVERAGE(D23:W23)</f>
        <v>0</v>
      </c>
      <c r="Y23">
        <f t="shared" ref="Y23:Y31" si="1">_xlfn.STDEV.S(D23:W23)</f>
        <v>0</v>
      </c>
      <c r="Z23">
        <v>0</v>
      </c>
      <c r="AA23">
        <f t="shared" ref="AA23:AA31" si="2">_xlfn.VAR.S(D23:W23)</f>
        <v>0</v>
      </c>
      <c r="AD23">
        <v>-1.9230769230769232E-3</v>
      </c>
      <c r="AE23" t="s">
        <v>14</v>
      </c>
      <c r="AF23">
        <v>0</v>
      </c>
      <c r="AG23">
        <v>0</v>
      </c>
    </row>
    <row r="24" spans="2:33" x14ac:dyDescent="0.35">
      <c r="B24" t="s">
        <v>18</v>
      </c>
      <c r="C24" t="s">
        <v>4</v>
      </c>
      <c r="D24">
        <v>0</v>
      </c>
      <c r="E24">
        <v>3</v>
      </c>
      <c r="F24">
        <v>2</v>
      </c>
      <c r="G24">
        <v>0</v>
      </c>
      <c r="H24">
        <v>2</v>
      </c>
      <c r="I24">
        <v>2</v>
      </c>
      <c r="J24">
        <v>0</v>
      </c>
      <c r="K24">
        <v>1</v>
      </c>
      <c r="L24">
        <v>3</v>
      </c>
      <c r="M24">
        <v>3</v>
      </c>
      <c r="N24">
        <v>3</v>
      </c>
      <c r="O24">
        <v>0</v>
      </c>
      <c r="P24">
        <v>0</v>
      </c>
      <c r="Q24">
        <v>3</v>
      </c>
      <c r="R24">
        <v>2</v>
      </c>
      <c r="S24">
        <v>0</v>
      </c>
      <c r="T24">
        <v>3</v>
      </c>
      <c r="U24">
        <v>3</v>
      </c>
      <c r="V24">
        <v>2</v>
      </c>
      <c r="W24">
        <v>1</v>
      </c>
      <c r="X24">
        <f t="shared" si="0"/>
        <v>1.65</v>
      </c>
      <c r="Y24">
        <f t="shared" si="1"/>
        <v>1.2680278927697548</v>
      </c>
      <c r="Z24">
        <f t="shared" ref="Z24:Z31" si="3">Y24/X24</f>
        <v>0.76850175319379088</v>
      </c>
      <c r="AA24">
        <f t="shared" si="2"/>
        <v>1.607894736842105</v>
      </c>
      <c r="AD24">
        <v>8.514874219275069E-2</v>
      </c>
      <c r="AE24" t="s">
        <v>4</v>
      </c>
      <c r="AF24">
        <v>2</v>
      </c>
      <c r="AG24">
        <f t="shared" ref="AG24:AG31" si="4">Y24/AF24</f>
        <v>0.6340139463848774</v>
      </c>
    </row>
    <row r="25" spans="2:33" x14ac:dyDescent="0.35">
      <c r="B25" t="s">
        <v>18</v>
      </c>
      <c r="C25" t="s">
        <v>16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f t="shared" si="0"/>
        <v>0</v>
      </c>
      <c r="Y25">
        <f t="shared" si="1"/>
        <v>0</v>
      </c>
      <c r="Z25">
        <v>0</v>
      </c>
      <c r="AA25">
        <f t="shared" si="2"/>
        <v>0</v>
      </c>
      <c r="AD25">
        <v>-1.3513513513513514E-3</v>
      </c>
      <c r="AE25" t="s">
        <v>16</v>
      </c>
      <c r="AF25">
        <v>0</v>
      </c>
      <c r="AG25">
        <v>0</v>
      </c>
    </row>
    <row r="26" spans="2:33" x14ac:dyDescent="0.35">
      <c r="B26" t="s">
        <v>18</v>
      </c>
      <c r="C26" t="s">
        <v>5</v>
      </c>
      <c r="D26">
        <v>3</v>
      </c>
      <c r="E26">
        <v>3</v>
      </c>
      <c r="F26">
        <v>3</v>
      </c>
      <c r="G26">
        <v>3</v>
      </c>
      <c r="H26">
        <v>1</v>
      </c>
      <c r="I26">
        <v>0</v>
      </c>
      <c r="J26">
        <v>3</v>
      </c>
      <c r="K26">
        <v>1</v>
      </c>
      <c r="L26">
        <v>3</v>
      </c>
      <c r="M26">
        <v>3</v>
      </c>
      <c r="N26">
        <v>2</v>
      </c>
      <c r="O26">
        <v>3</v>
      </c>
      <c r="P26">
        <v>3</v>
      </c>
      <c r="Q26">
        <v>0</v>
      </c>
      <c r="R26">
        <v>3</v>
      </c>
      <c r="S26">
        <v>3</v>
      </c>
      <c r="T26">
        <v>2</v>
      </c>
      <c r="U26">
        <v>3</v>
      </c>
      <c r="V26">
        <v>3</v>
      </c>
      <c r="W26">
        <v>3</v>
      </c>
      <c r="X26">
        <f t="shared" si="0"/>
        <v>2.4</v>
      </c>
      <c r="Y26">
        <f t="shared" si="1"/>
        <v>1.0462967275611939</v>
      </c>
      <c r="Z26">
        <f t="shared" si="3"/>
        <v>0.43595696981716414</v>
      </c>
      <c r="AA26">
        <f t="shared" si="2"/>
        <v>1.094736842105263</v>
      </c>
      <c r="AD26">
        <v>0.10775011494968142</v>
      </c>
      <c r="AE26" t="s">
        <v>5</v>
      </c>
      <c r="AF26">
        <v>3</v>
      </c>
      <c r="AG26">
        <f t="shared" si="4"/>
        <v>0.3487655758537313</v>
      </c>
    </row>
    <row r="27" spans="2:33" x14ac:dyDescent="0.35">
      <c r="B27" t="s">
        <v>18</v>
      </c>
      <c r="C27" t="s">
        <v>66</v>
      </c>
      <c r="D27">
        <v>0</v>
      </c>
      <c r="E27">
        <v>-2</v>
      </c>
      <c r="F27">
        <v>0</v>
      </c>
      <c r="G27">
        <v>0</v>
      </c>
      <c r="H27">
        <v>-1</v>
      </c>
      <c r="I27">
        <v>-2</v>
      </c>
      <c r="J27">
        <v>0</v>
      </c>
      <c r="K27">
        <v>-2</v>
      </c>
      <c r="L27">
        <v>0</v>
      </c>
      <c r="M27">
        <v>0</v>
      </c>
      <c r="N27">
        <v>0</v>
      </c>
      <c r="O27">
        <v>-1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-2</v>
      </c>
      <c r="W27">
        <v>-2</v>
      </c>
      <c r="X27">
        <f t="shared" si="0"/>
        <v>-0.6</v>
      </c>
      <c r="Y27">
        <f t="shared" si="1"/>
        <v>0.88257995015808777</v>
      </c>
      <c r="Z27">
        <f t="shared" si="3"/>
        <v>-1.4709665835968131</v>
      </c>
      <c r="AA27">
        <f t="shared" si="2"/>
        <v>0.77894736842105272</v>
      </c>
      <c r="AD27">
        <v>-2.5558534186582965E-2</v>
      </c>
      <c r="AE27" t="s">
        <v>66</v>
      </c>
      <c r="AF27">
        <v>0</v>
      </c>
      <c r="AG27">
        <v>0</v>
      </c>
    </row>
    <row r="28" spans="2:33" x14ac:dyDescent="0.35">
      <c r="B28" t="s">
        <v>18</v>
      </c>
      <c r="C28" t="s">
        <v>6</v>
      </c>
      <c r="D28">
        <v>0</v>
      </c>
      <c r="E28">
        <v>0</v>
      </c>
      <c r="F28">
        <v>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2</v>
      </c>
      <c r="S28">
        <v>0</v>
      </c>
      <c r="T28">
        <v>0</v>
      </c>
      <c r="U28">
        <v>0</v>
      </c>
      <c r="V28">
        <v>0</v>
      </c>
      <c r="W28">
        <v>3</v>
      </c>
      <c r="X28">
        <f t="shared" si="0"/>
        <v>0.45</v>
      </c>
      <c r="Y28">
        <f t="shared" si="1"/>
        <v>0.998683343734455</v>
      </c>
      <c r="Z28">
        <f t="shared" si="3"/>
        <v>2.2192963194098998</v>
      </c>
      <c r="AA28">
        <f t="shared" si="2"/>
        <v>0.99736842105263157</v>
      </c>
      <c r="AD28">
        <v>1.2371418240983459E-2</v>
      </c>
      <c r="AE28" t="s">
        <v>6</v>
      </c>
      <c r="AF28">
        <v>0</v>
      </c>
      <c r="AG28">
        <v>0</v>
      </c>
    </row>
    <row r="29" spans="2:33" x14ac:dyDescent="0.35">
      <c r="B29" t="s">
        <v>18</v>
      </c>
      <c r="C29" t="s">
        <v>15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f t="shared" si="0"/>
        <v>0</v>
      </c>
      <c r="Y29">
        <f t="shared" si="1"/>
        <v>0</v>
      </c>
      <c r="Z29">
        <v>0</v>
      </c>
      <c r="AA29">
        <f t="shared" si="2"/>
        <v>0</v>
      </c>
      <c r="AD29">
        <v>0</v>
      </c>
      <c r="AE29" t="s">
        <v>15</v>
      </c>
      <c r="AF29">
        <v>0</v>
      </c>
      <c r="AG29">
        <v>0</v>
      </c>
    </row>
    <row r="30" spans="2:33" x14ac:dyDescent="0.35">
      <c r="B30" t="s">
        <v>18</v>
      </c>
      <c r="C30" t="s">
        <v>7</v>
      </c>
      <c r="D30">
        <v>2</v>
      </c>
      <c r="E30">
        <v>3</v>
      </c>
      <c r="F30">
        <v>3</v>
      </c>
      <c r="G30">
        <v>0</v>
      </c>
      <c r="H30">
        <v>3</v>
      </c>
      <c r="I30">
        <v>3</v>
      </c>
      <c r="J30">
        <v>3</v>
      </c>
      <c r="K30">
        <v>1</v>
      </c>
      <c r="L30">
        <v>3</v>
      </c>
      <c r="M30">
        <v>3</v>
      </c>
      <c r="N30">
        <v>2</v>
      </c>
      <c r="O30">
        <v>3</v>
      </c>
      <c r="P30">
        <v>2</v>
      </c>
      <c r="Q30">
        <v>3</v>
      </c>
      <c r="R30">
        <v>3</v>
      </c>
      <c r="S30">
        <v>0</v>
      </c>
      <c r="T30">
        <v>2</v>
      </c>
      <c r="U30">
        <v>1</v>
      </c>
      <c r="V30">
        <v>3</v>
      </c>
      <c r="W30">
        <v>0</v>
      </c>
      <c r="X30">
        <f t="shared" si="0"/>
        <v>2.15</v>
      </c>
      <c r="Y30">
        <f t="shared" si="1"/>
        <v>1.1367080817685316</v>
      </c>
      <c r="Z30">
        <f t="shared" si="3"/>
        <v>0.5287014333807124</v>
      </c>
      <c r="AA30">
        <f t="shared" si="2"/>
        <v>1.2921052631578946</v>
      </c>
      <c r="AD30">
        <v>6.8009694612526636E-2</v>
      </c>
      <c r="AE30" t="s">
        <v>7</v>
      </c>
      <c r="AF30">
        <v>3</v>
      </c>
      <c r="AG30">
        <f t="shared" si="4"/>
        <v>0.37890269392284387</v>
      </c>
    </row>
    <row r="31" spans="2:33" x14ac:dyDescent="0.35">
      <c r="B31" t="s">
        <v>18</v>
      </c>
      <c r="C31" t="s">
        <v>15</v>
      </c>
      <c r="D31">
        <v>0</v>
      </c>
      <c r="E31">
        <v>-1</v>
      </c>
      <c r="F31">
        <v>0</v>
      </c>
      <c r="G31">
        <v>0</v>
      </c>
      <c r="H31">
        <v>-2</v>
      </c>
      <c r="I31">
        <v>-3</v>
      </c>
      <c r="J31">
        <v>0</v>
      </c>
      <c r="K31">
        <v>-1</v>
      </c>
      <c r="L31">
        <v>-3</v>
      </c>
      <c r="M31">
        <v>-1</v>
      </c>
      <c r="N31">
        <v>-1</v>
      </c>
      <c r="O31">
        <v>0</v>
      </c>
      <c r="P31">
        <v>0</v>
      </c>
      <c r="Q31">
        <v>-3</v>
      </c>
      <c r="R31">
        <v>0</v>
      </c>
      <c r="S31">
        <v>-2</v>
      </c>
      <c r="T31">
        <v>-1</v>
      </c>
      <c r="U31">
        <v>-3</v>
      </c>
      <c r="V31">
        <v>-1</v>
      </c>
      <c r="W31">
        <v>0</v>
      </c>
      <c r="X31">
        <f t="shared" si="0"/>
        <v>-1.1000000000000001</v>
      </c>
      <c r="Y31">
        <f t="shared" si="1"/>
        <v>1.1652874052533586</v>
      </c>
      <c r="Z31">
        <f t="shared" si="3"/>
        <v>-1.0593521865939624</v>
      </c>
      <c r="AA31">
        <f t="shared" si="2"/>
        <v>1.3578947368421053</v>
      </c>
      <c r="AD31">
        <v>-3.3498786151225174E-2</v>
      </c>
      <c r="AE31" t="s">
        <v>15</v>
      </c>
      <c r="AF31">
        <v>-1</v>
      </c>
      <c r="AG31">
        <f t="shared" si="4"/>
        <v>-1.1652874052533586</v>
      </c>
    </row>
    <row r="32" spans="2:33" x14ac:dyDescent="0.35">
      <c r="C32" t="s">
        <v>78</v>
      </c>
    </row>
    <row r="33" spans="2:32" x14ac:dyDescent="0.35">
      <c r="B33" t="s">
        <v>18</v>
      </c>
      <c r="C33" t="s">
        <v>42</v>
      </c>
    </row>
    <row r="34" spans="2:32" x14ac:dyDescent="0.35">
      <c r="B34" t="s">
        <v>18</v>
      </c>
      <c r="C34" t="s">
        <v>43</v>
      </c>
    </row>
    <row r="35" spans="2:32" x14ac:dyDescent="0.35">
      <c r="C35" t="s">
        <v>72</v>
      </c>
    </row>
    <row r="36" spans="2:32" x14ac:dyDescent="0.35">
      <c r="B36" t="s">
        <v>18</v>
      </c>
      <c r="C36" t="s">
        <v>20</v>
      </c>
    </row>
    <row r="37" spans="2:32" x14ac:dyDescent="0.35">
      <c r="B37" t="s">
        <v>18</v>
      </c>
      <c r="C37" t="s">
        <v>21</v>
      </c>
    </row>
    <row r="38" spans="2:32" x14ac:dyDescent="0.35">
      <c r="B38" t="s">
        <v>18</v>
      </c>
      <c r="C38" t="s">
        <v>72</v>
      </c>
    </row>
    <row r="39" spans="2:32" x14ac:dyDescent="0.35">
      <c r="B39" t="s">
        <v>19</v>
      </c>
      <c r="C39" t="s">
        <v>0</v>
      </c>
      <c r="D39">
        <v>3</v>
      </c>
      <c r="E39">
        <v>3</v>
      </c>
      <c r="F39">
        <v>1</v>
      </c>
      <c r="G39">
        <v>2</v>
      </c>
      <c r="H39">
        <v>2</v>
      </c>
      <c r="I39">
        <v>2</v>
      </c>
      <c r="J39">
        <v>3</v>
      </c>
      <c r="K39">
        <v>2</v>
      </c>
      <c r="L39">
        <v>3</v>
      </c>
      <c r="M39">
        <v>3</v>
      </c>
      <c r="N39">
        <v>2</v>
      </c>
      <c r="O39">
        <v>2</v>
      </c>
      <c r="P39">
        <v>3</v>
      </c>
      <c r="Q39">
        <v>2</v>
      </c>
      <c r="R39">
        <v>3</v>
      </c>
      <c r="S39">
        <v>3</v>
      </c>
      <c r="T39">
        <v>2</v>
      </c>
      <c r="U39">
        <v>2</v>
      </c>
      <c r="V39">
        <v>2</v>
      </c>
      <c r="W39">
        <v>2</v>
      </c>
      <c r="X39">
        <f t="shared" si="0"/>
        <v>2.35</v>
      </c>
      <c r="Y39">
        <f>_xlfn.STDEV.S(D39:W39)</f>
        <v>0.58714294861239968</v>
      </c>
      <c r="Z39">
        <f>Y39/X39</f>
        <v>0.24984806323931902</v>
      </c>
      <c r="AA39">
        <f>_xlfn.VAR.S(D39:W39)</f>
        <v>0.34473684210526301</v>
      </c>
      <c r="AD39" t="s">
        <v>134</v>
      </c>
      <c r="AF39">
        <v>3</v>
      </c>
    </row>
    <row r="40" spans="2:32" x14ac:dyDescent="0.35">
      <c r="B40" t="s">
        <v>19</v>
      </c>
      <c r="C40" t="s">
        <v>15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f t="shared" si="0"/>
        <v>0</v>
      </c>
      <c r="Y40">
        <f t="shared" ref="Y40:Y48" si="5">_xlfn.STDEV.S(D40:W40)</f>
        <v>0</v>
      </c>
      <c r="Z40">
        <v>0</v>
      </c>
      <c r="AA40">
        <f t="shared" ref="AA40:AA48" si="6">_xlfn.VAR.S(D40:W40)</f>
        <v>0</v>
      </c>
      <c r="AF40">
        <v>0</v>
      </c>
    </row>
    <row r="41" spans="2:32" x14ac:dyDescent="0.35">
      <c r="B41" t="s">
        <v>19</v>
      </c>
      <c r="C41" t="s">
        <v>4</v>
      </c>
      <c r="D41">
        <v>0</v>
      </c>
      <c r="E41">
        <v>0</v>
      </c>
      <c r="F41">
        <v>3</v>
      </c>
      <c r="G41">
        <v>3</v>
      </c>
      <c r="H41">
        <v>2</v>
      </c>
      <c r="I41">
        <v>3</v>
      </c>
      <c r="J41">
        <v>0</v>
      </c>
      <c r="K41">
        <v>3</v>
      </c>
      <c r="L41">
        <v>3</v>
      </c>
      <c r="M41">
        <v>3</v>
      </c>
      <c r="N41">
        <v>3</v>
      </c>
      <c r="O41">
        <v>3</v>
      </c>
      <c r="P41">
        <v>0</v>
      </c>
      <c r="Q41">
        <v>3</v>
      </c>
      <c r="R41">
        <v>2</v>
      </c>
      <c r="S41">
        <v>0</v>
      </c>
      <c r="T41">
        <v>3</v>
      </c>
      <c r="U41">
        <v>3</v>
      </c>
      <c r="V41">
        <v>3</v>
      </c>
      <c r="W41">
        <v>3</v>
      </c>
      <c r="X41">
        <f t="shared" si="0"/>
        <v>2.15</v>
      </c>
      <c r="Y41">
        <f t="shared" si="5"/>
        <v>1.3088765773505315</v>
      </c>
      <c r="Z41">
        <f t="shared" ref="Z41:Z48" si="7">Y41/X41</f>
        <v>0.60877980341885185</v>
      </c>
      <c r="AA41">
        <f t="shared" si="6"/>
        <v>1.713157894736842</v>
      </c>
      <c r="AF41">
        <v>3</v>
      </c>
    </row>
    <row r="42" spans="2:32" x14ac:dyDescent="0.35">
      <c r="B42" t="s">
        <v>19</v>
      </c>
      <c r="C42" t="s">
        <v>15</v>
      </c>
      <c r="D42">
        <v>0</v>
      </c>
      <c r="E42">
        <v>0</v>
      </c>
      <c r="F42">
        <v>0</v>
      </c>
      <c r="G42">
        <v>0</v>
      </c>
      <c r="H42">
        <v>-2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-1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f t="shared" si="0"/>
        <v>-0.15</v>
      </c>
      <c r="Y42">
        <f t="shared" si="5"/>
        <v>0.48936048492959289</v>
      </c>
      <c r="Z42">
        <f t="shared" si="7"/>
        <v>-3.2624032328639525</v>
      </c>
      <c r="AA42">
        <f t="shared" si="6"/>
        <v>0.23947368421052631</v>
      </c>
      <c r="AF42">
        <v>0</v>
      </c>
    </row>
    <row r="43" spans="2:32" x14ac:dyDescent="0.35">
      <c r="B43" t="s">
        <v>19</v>
      </c>
      <c r="C43" t="s">
        <v>5</v>
      </c>
      <c r="D43">
        <v>3</v>
      </c>
      <c r="E43">
        <v>3</v>
      </c>
      <c r="F43">
        <v>3</v>
      </c>
      <c r="G43">
        <v>3</v>
      </c>
      <c r="H43">
        <v>3</v>
      </c>
      <c r="I43">
        <v>2</v>
      </c>
      <c r="J43">
        <v>3</v>
      </c>
      <c r="K43">
        <v>1</v>
      </c>
      <c r="L43">
        <v>3</v>
      </c>
      <c r="M43">
        <v>3</v>
      </c>
      <c r="N43">
        <v>1</v>
      </c>
      <c r="O43">
        <v>2</v>
      </c>
      <c r="P43">
        <v>3</v>
      </c>
      <c r="Q43">
        <v>3</v>
      </c>
      <c r="R43">
        <v>3</v>
      </c>
      <c r="S43">
        <v>3</v>
      </c>
      <c r="T43">
        <v>2</v>
      </c>
      <c r="U43">
        <v>3</v>
      </c>
      <c r="V43">
        <v>3</v>
      </c>
      <c r="W43">
        <v>3</v>
      </c>
      <c r="X43">
        <f t="shared" si="0"/>
        <v>2.65</v>
      </c>
      <c r="Y43">
        <f t="shared" si="5"/>
        <v>0.67082039324993736</v>
      </c>
      <c r="Z43">
        <f t="shared" si="7"/>
        <v>0.25313977103771224</v>
      </c>
      <c r="AA43">
        <f t="shared" si="6"/>
        <v>0.45000000000000062</v>
      </c>
      <c r="AF43">
        <v>3</v>
      </c>
    </row>
    <row r="44" spans="2:32" x14ac:dyDescent="0.35">
      <c r="B44" t="s">
        <v>19</v>
      </c>
      <c r="C44" t="s">
        <v>15</v>
      </c>
      <c r="D44">
        <v>0</v>
      </c>
      <c r="E44">
        <v>0</v>
      </c>
      <c r="F44">
        <v>0</v>
      </c>
      <c r="G44">
        <v>0</v>
      </c>
      <c r="H44">
        <v>-1</v>
      </c>
      <c r="I44">
        <v>-1</v>
      </c>
      <c r="J44">
        <v>0</v>
      </c>
      <c r="K44">
        <v>-1</v>
      </c>
      <c r="L44">
        <v>0</v>
      </c>
      <c r="M44">
        <v>0</v>
      </c>
      <c r="N44">
        <v>-1</v>
      </c>
      <c r="O44">
        <v>-2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f t="shared" si="0"/>
        <v>-0.3</v>
      </c>
      <c r="Y44">
        <f t="shared" si="5"/>
        <v>0.57124057057747946</v>
      </c>
      <c r="Z44">
        <f t="shared" si="7"/>
        <v>-1.904135235258265</v>
      </c>
      <c r="AA44">
        <f t="shared" si="6"/>
        <v>0.32631578947368423</v>
      </c>
      <c r="AF44">
        <v>0</v>
      </c>
    </row>
    <row r="45" spans="2:32" x14ac:dyDescent="0.35">
      <c r="B45" t="s">
        <v>19</v>
      </c>
      <c r="C45" t="s">
        <v>6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1</v>
      </c>
      <c r="L45">
        <v>3</v>
      </c>
      <c r="M45">
        <v>0</v>
      </c>
      <c r="N45">
        <v>0</v>
      </c>
      <c r="O45">
        <v>1</v>
      </c>
      <c r="P45">
        <v>2</v>
      </c>
      <c r="Q45">
        <v>1</v>
      </c>
      <c r="R45">
        <v>1</v>
      </c>
      <c r="S45">
        <v>0</v>
      </c>
      <c r="T45">
        <v>1</v>
      </c>
      <c r="U45">
        <v>2</v>
      </c>
      <c r="V45">
        <v>2</v>
      </c>
      <c r="W45">
        <v>2</v>
      </c>
      <c r="X45">
        <f t="shared" si="0"/>
        <v>0.85</v>
      </c>
      <c r="Y45">
        <f t="shared" si="5"/>
        <v>0.93330200448672962</v>
      </c>
      <c r="Z45">
        <f t="shared" si="7"/>
        <v>1.0980023582196818</v>
      </c>
      <c r="AA45">
        <f t="shared" si="6"/>
        <v>0.87105263157894741</v>
      </c>
      <c r="AF45">
        <v>1</v>
      </c>
    </row>
    <row r="46" spans="2:32" x14ac:dyDescent="0.35">
      <c r="B46" t="s">
        <v>19</v>
      </c>
      <c r="C46" t="s">
        <v>15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f t="shared" si="0"/>
        <v>0</v>
      </c>
      <c r="Y46">
        <f t="shared" si="5"/>
        <v>0</v>
      </c>
      <c r="Z46">
        <v>0</v>
      </c>
      <c r="AA46">
        <f t="shared" si="6"/>
        <v>0</v>
      </c>
      <c r="AF46">
        <v>0</v>
      </c>
    </row>
    <row r="47" spans="2:32" x14ac:dyDescent="0.35">
      <c r="B47" t="s">
        <v>19</v>
      </c>
      <c r="C47" t="s">
        <v>7</v>
      </c>
      <c r="D47">
        <v>3</v>
      </c>
      <c r="E47">
        <v>0</v>
      </c>
      <c r="F47">
        <v>3</v>
      </c>
      <c r="G47">
        <v>3</v>
      </c>
      <c r="H47">
        <v>3</v>
      </c>
      <c r="I47">
        <v>3</v>
      </c>
      <c r="J47">
        <v>3</v>
      </c>
      <c r="K47">
        <v>3</v>
      </c>
      <c r="L47">
        <v>0</v>
      </c>
      <c r="M47">
        <v>3</v>
      </c>
      <c r="N47">
        <v>3</v>
      </c>
      <c r="O47">
        <v>3</v>
      </c>
      <c r="P47">
        <v>2</v>
      </c>
      <c r="Q47">
        <v>3</v>
      </c>
      <c r="R47">
        <v>3</v>
      </c>
      <c r="S47">
        <v>3</v>
      </c>
      <c r="T47">
        <v>3</v>
      </c>
      <c r="U47">
        <v>3</v>
      </c>
      <c r="V47">
        <v>3</v>
      </c>
      <c r="W47">
        <v>1</v>
      </c>
      <c r="X47">
        <f t="shared" si="0"/>
        <v>2.5499999999999998</v>
      </c>
      <c r="Y47">
        <f t="shared" si="5"/>
        <v>0.99868334373445466</v>
      </c>
      <c r="Z47">
        <f t="shared" si="7"/>
        <v>0.39164052695468815</v>
      </c>
      <c r="AA47">
        <f t="shared" si="6"/>
        <v>0.99736842105263102</v>
      </c>
      <c r="AF47">
        <v>3</v>
      </c>
    </row>
    <row r="48" spans="2:32" x14ac:dyDescent="0.35">
      <c r="B48" t="s">
        <v>19</v>
      </c>
      <c r="C48" t="s">
        <v>15</v>
      </c>
      <c r="D48">
        <v>0</v>
      </c>
      <c r="E48">
        <v>0</v>
      </c>
      <c r="F48">
        <v>0</v>
      </c>
      <c r="G48">
        <v>0</v>
      </c>
      <c r="H48">
        <v>0</v>
      </c>
      <c r="I48">
        <v>-2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-3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-5.1136363636363636E-3</v>
      </c>
      <c r="Y48">
        <f t="shared" si="5"/>
        <v>0.78639751565704918</v>
      </c>
      <c r="Z48">
        <f t="shared" si="7"/>
        <v>-153.78440306182296</v>
      </c>
      <c r="AA48">
        <f t="shared" si="6"/>
        <v>0.61842105263157898</v>
      </c>
      <c r="AF48">
        <v>0</v>
      </c>
    </row>
    <row r="49" spans="2:26" x14ac:dyDescent="0.35">
      <c r="C49" t="s">
        <v>78</v>
      </c>
    </row>
    <row r="50" spans="2:26" x14ac:dyDescent="0.35">
      <c r="B50" t="s">
        <v>19</v>
      </c>
      <c r="C50" t="s">
        <v>42</v>
      </c>
    </row>
    <row r="51" spans="2:26" x14ac:dyDescent="0.35">
      <c r="B51" t="s">
        <v>19</v>
      </c>
      <c r="C51" t="s">
        <v>43</v>
      </c>
    </row>
    <row r="52" spans="2:26" x14ac:dyDescent="0.35">
      <c r="C52" t="s">
        <v>72</v>
      </c>
    </row>
    <row r="53" spans="2:26" x14ac:dyDescent="0.35">
      <c r="B53" t="s">
        <v>19</v>
      </c>
      <c r="C53" t="s">
        <v>20</v>
      </c>
    </row>
    <row r="54" spans="2:26" x14ac:dyDescent="0.35">
      <c r="B54" t="s">
        <v>19</v>
      </c>
      <c r="C54" t="s">
        <v>21</v>
      </c>
    </row>
    <row r="55" spans="2:26" x14ac:dyDescent="0.35">
      <c r="B55" t="s">
        <v>19</v>
      </c>
      <c r="C55" t="s">
        <v>22</v>
      </c>
    </row>
    <row r="56" spans="2:26" x14ac:dyDescent="0.35">
      <c r="B56" t="s">
        <v>23</v>
      </c>
      <c r="C56" t="s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7.6923076923076927E-2</v>
      </c>
      <c r="S56">
        <v>0</v>
      </c>
      <c r="T56">
        <v>0</v>
      </c>
      <c r="U56">
        <v>0</v>
      </c>
      <c r="V56">
        <v>0</v>
      </c>
      <c r="W56">
        <v>0</v>
      </c>
      <c r="X56">
        <f t="shared" si="0"/>
        <v>3.8461538461538464E-3</v>
      </c>
      <c r="Z56">
        <v>3.8461538461538464E-3</v>
      </c>
    </row>
    <row r="57" spans="2:26" x14ac:dyDescent="0.35">
      <c r="B57" t="s">
        <v>23</v>
      </c>
      <c r="C57" t="s">
        <v>15</v>
      </c>
      <c r="D57">
        <v>0</v>
      </c>
      <c r="E57">
        <v>-0.04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-3.8461538461538464E-2</v>
      </c>
      <c r="S57">
        <v>0</v>
      </c>
      <c r="T57">
        <v>0</v>
      </c>
      <c r="U57">
        <v>0</v>
      </c>
      <c r="V57">
        <v>0</v>
      </c>
      <c r="W57">
        <v>0</v>
      </c>
      <c r="X57">
        <f t="shared" si="0"/>
        <v>-3.9230769230769232E-3</v>
      </c>
      <c r="Z57">
        <v>-3.9230769230769232E-3</v>
      </c>
    </row>
    <row r="58" spans="2:26" x14ac:dyDescent="0.35">
      <c r="B58" t="s">
        <v>23</v>
      </c>
      <c r="C58" t="s">
        <v>4</v>
      </c>
      <c r="D58">
        <v>0</v>
      </c>
      <c r="E58">
        <v>0.04</v>
      </c>
      <c r="F58">
        <v>0.1111111111111111</v>
      </c>
      <c r="G58">
        <v>0</v>
      </c>
      <c r="H58">
        <v>0.10526315789473684</v>
      </c>
      <c r="I58">
        <v>0.12903225806451613</v>
      </c>
      <c r="J58">
        <v>0</v>
      </c>
      <c r="K58">
        <v>0</v>
      </c>
      <c r="L58">
        <v>0</v>
      </c>
      <c r="M58">
        <v>0.1111111111111111</v>
      </c>
      <c r="N58">
        <v>0.13043478260869565</v>
      </c>
      <c r="O58">
        <v>4.3478260869565216E-2</v>
      </c>
      <c r="P58">
        <v>0</v>
      </c>
      <c r="Q58">
        <v>0.13793103448275862</v>
      </c>
      <c r="R58">
        <v>3.8461538461538464E-2</v>
      </c>
      <c r="S58">
        <v>0</v>
      </c>
      <c r="T58">
        <v>0.15384615384615385</v>
      </c>
      <c r="U58">
        <v>0.1</v>
      </c>
      <c r="V58">
        <v>7.6923076923076927E-2</v>
      </c>
      <c r="W58">
        <v>2.9411764705882353E-2</v>
      </c>
      <c r="X58">
        <f t="shared" si="0"/>
        <v>6.03502125039573E-2</v>
      </c>
      <c r="Z58">
        <v>6.03502125039573E-2</v>
      </c>
    </row>
    <row r="59" spans="2:26" x14ac:dyDescent="0.35">
      <c r="B59" t="s">
        <v>23</v>
      </c>
      <c r="C59" t="s">
        <v>15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f t="shared" si="0"/>
        <v>0</v>
      </c>
      <c r="Z59">
        <v>0</v>
      </c>
    </row>
    <row r="60" spans="2:26" x14ac:dyDescent="0.35">
      <c r="B60" t="s">
        <v>23</v>
      </c>
      <c r="C60" t="s">
        <v>5</v>
      </c>
      <c r="D60">
        <v>0.11764705882352941</v>
      </c>
      <c r="E60">
        <v>0.08</v>
      </c>
      <c r="F60">
        <v>0.1388888888888889</v>
      </c>
      <c r="G60">
        <v>0.15789473684210525</v>
      </c>
      <c r="H60">
        <v>5.2631578947368418E-2</v>
      </c>
      <c r="I60">
        <v>3.2258064516129031E-2</v>
      </c>
      <c r="J60">
        <v>0.2</v>
      </c>
      <c r="K60">
        <v>0.13333333333333333</v>
      </c>
      <c r="L60">
        <v>0</v>
      </c>
      <c r="M60">
        <v>0.1111111111111111</v>
      </c>
      <c r="N60">
        <v>8.6956521739130432E-2</v>
      </c>
      <c r="O60">
        <v>0.17391304347826086</v>
      </c>
      <c r="P60">
        <v>5.5555555555555552E-2</v>
      </c>
      <c r="Q60">
        <v>6.8965517241379309E-2</v>
      </c>
      <c r="R60">
        <v>0.11538461538461539</v>
      </c>
      <c r="S60">
        <v>0.22222222222222221</v>
      </c>
      <c r="T60">
        <v>7.6923076923076927E-2</v>
      </c>
      <c r="U60">
        <v>0.1</v>
      </c>
      <c r="V60">
        <v>0.15384615384615385</v>
      </c>
      <c r="W60">
        <v>5.8823529411764705E-2</v>
      </c>
      <c r="X60">
        <f t="shared" si="0"/>
        <v>0.10681775041323123</v>
      </c>
      <c r="Z60">
        <v>0.10681775041323123</v>
      </c>
    </row>
    <row r="61" spans="2:26" x14ac:dyDescent="0.35">
      <c r="B61" t="s">
        <v>23</v>
      </c>
      <c r="C61" t="s">
        <v>15</v>
      </c>
      <c r="D61">
        <v>0</v>
      </c>
      <c r="E61">
        <v>-0.08</v>
      </c>
      <c r="F61">
        <v>0</v>
      </c>
      <c r="G61">
        <v>0</v>
      </c>
      <c r="H61">
        <v>-0.10526315789473684</v>
      </c>
      <c r="I61">
        <v>-6.4516129032258063E-2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-5.5555555555555552E-2</v>
      </c>
      <c r="Q61">
        <v>-3.4482758620689655E-2</v>
      </c>
      <c r="R61">
        <v>-3.8461538461538464E-2</v>
      </c>
      <c r="S61">
        <v>0</v>
      </c>
      <c r="T61">
        <v>0</v>
      </c>
      <c r="U61">
        <v>0</v>
      </c>
      <c r="V61">
        <v>-2.564102564102564E-2</v>
      </c>
      <c r="W61">
        <v>-2.9411764705882353E-2</v>
      </c>
      <c r="X61">
        <f t="shared" si="0"/>
        <v>-2.1666596495584334E-2</v>
      </c>
      <c r="Z61">
        <v>-2.1666596495584334E-2</v>
      </c>
    </row>
    <row r="62" spans="2:26" x14ac:dyDescent="0.35">
      <c r="B62" t="s">
        <v>23</v>
      </c>
      <c r="C62" t="s">
        <v>6</v>
      </c>
      <c r="D62">
        <v>0</v>
      </c>
      <c r="E62">
        <v>0</v>
      </c>
      <c r="F62">
        <v>2.7777777777777776E-2</v>
      </c>
      <c r="G62">
        <v>0</v>
      </c>
      <c r="H62">
        <v>0</v>
      </c>
      <c r="I62">
        <v>0</v>
      </c>
      <c r="J62">
        <v>0</v>
      </c>
      <c r="K62">
        <v>6.6666666666666666E-2</v>
      </c>
      <c r="L62">
        <v>0</v>
      </c>
      <c r="M62">
        <v>0</v>
      </c>
      <c r="N62">
        <v>4.3478260869565216E-2</v>
      </c>
      <c r="O62">
        <v>0</v>
      </c>
      <c r="P62">
        <v>0</v>
      </c>
      <c r="Q62">
        <v>3.4482758620689655E-2</v>
      </c>
      <c r="R62">
        <v>7.6923076923076927E-2</v>
      </c>
      <c r="S62">
        <v>0</v>
      </c>
      <c r="T62">
        <v>0</v>
      </c>
      <c r="U62">
        <v>0</v>
      </c>
      <c r="V62">
        <v>2.564102564102564E-2</v>
      </c>
      <c r="W62">
        <v>5.8823529411764705E-2</v>
      </c>
      <c r="X62">
        <f t="shared" si="0"/>
        <v>1.6689654795528329E-2</v>
      </c>
      <c r="Z62">
        <v>1.6689654795528329E-2</v>
      </c>
    </row>
    <row r="63" spans="2:26" x14ac:dyDescent="0.35">
      <c r="B63" t="s">
        <v>23</v>
      </c>
      <c r="C63" t="s">
        <v>15</v>
      </c>
      <c r="D63">
        <v>0</v>
      </c>
      <c r="E63">
        <v>0</v>
      </c>
      <c r="F63">
        <v>-2.7777777777777776E-2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f t="shared" si="0"/>
        <v>-1.3888888888888887E-3</v>
      </c>
      <c r="Z63">
        <v>-1.3888888888888887E-3</v>
      </c>
    </row>
    <row r="64" spans="2:26" x14ac:dyDescent="0.35">
      <c r="B64" t="s">
        <v>23</v>
      </c>
      <c r="C64" t="s">
        <v>7</v>
      </c>
      <c r="D64">
        <v>5.8823529411764705E-2</v>
      </c>
      <c r="E64">
        <v>0.2</v>
      </c>
      <c r="F64">
        <v>0.1388888888888889</v>
      </c>
      <c r="G64">
        <v>0</v>
      </c>
      <c r="H64">
        <v>0.10526315789473684</v>
      </c>
      <c r="I64">
        <v>6.4516129032258063E-2</v>
      </c>
      <c r="J64">
        <v>0</v>
      </c>
      <c r="K64">
        <v>0</v>
      </c>
      <c r="L64">
        <v>0</v>
      </c>
      <c r="M64">
        <v>0.1111111111111111</v>
      </c>
      <c r="N64">
        <v>4.3478260869565216E-2</v>
      </c>
      <c r="O64">
        <v>0.13043478260869565</v>
      </c>
      <c r="P64">
        <v>0</v>
      </c>
      <c r="Q64">
        <v>0.13793103448275862</v>
      </c>
      <c r="R64">
        <v>3.8461538461538464E-2</v>
      </c>
      <c r="S64">
        <v>0</v>
      </c>
      <c r="T64">
        <v>7.6923076923076927E-2</v>
      </c>
      <c r="U64">
        <v>0.2</v>
      </c>
      <c r="V64">
        <v>2.564102564102564E-2</v>
      </c>
      <c r="W64">
        <v>0.11764705882352941</v>
      </c>
      <c r="X64">
        <f t="shared" si="0"/>
        <v>7.2455979707447465E-2</v>
      </c>
      <c r="Z64">
        <v>7.2455979707447465E-2</v>
      </c>
    </row>
    <row r="65" spans="2:26" x14ac:dyDescent="0.35">
      <c r="B65" t="s">
        <v>23</v>
      </c>
      <c r="C65" t="s">
        <v>15</v>
      </c>
      <c r="D65">
        <v>0</v>
      </c>
      <c r="E65">
        <v>0</v>
      </c>
      <c r="F65">
        <v>0</v>
      </c>
      <c r="G65">
        <v>-0.10526315789473684</v>
      </c>
      <c r="H65">
        <v>0</v>
      </c>
      <c r="I65">
        <v>-9.6774193548387094E-2</v>
      </c>
      <c r="J65">
        <v>-0.2</v>
      </c>
      <c r="K65">
        <v>-6.6666666666666666E-2</v>
      </c>
      <c r="L65">
        <v>0</v>
      </c>
      <c r="M65">
        <v>0</v>
      </c>
      <c r="N65">
        <v>-4.3478260869565216E-2</v>
      </c>
      <c r="O65">
        <v>0</v>
      </c>
      <c r="P65">
        <v>-0.1111111111111111</v>
      </c>
      <c r="Q65">
        <v>0</v>
      </c>
      <c r="R65">
        <v>0</v>
      </c>
      <c r="S65">
        <v>-0.1111111111111111</v>
      </c>
      <c r="T65">
        <v>0</v>
      </c>
      <c r="U65">
        <v>0</v>
      </c>
      <c r="V65">
        <v>-2.564102564102564E-2</v>
      </c>
      <c r="W65">
        <v>0</v>
      </c>
      <c r="X65">
        <v>-3.8002276342130187E-2</v>
      </c>
      <c r="Z65">
        <v>-3.8002276342130187E-2</v>
      </c>
    </row>
    <row r="67" spans="2:26" x14ac:dyDescent="0.35">
      <c r="B67" t="s">
        <v>23</v>
      </c>
      <c r="C67" t="s">
        <v>42</v>
      </c>
    </row>
    <row r="68" spans="2:26" x14ac:dyDescent="0.35">
      <c r="B68" t="s">
        <v>23</v>
      </c>
      <c r="C68" t="s">
        <v>43</v>
      </c>
    </row>
    <row r="69" spans="2:26" x14ac:dyDescent="0.35">
      <c r="C69" t="s">
        <v>72</v>
      </c>
    </row>
    <row r="70" spans="2:26" x14ac:dyDescent="0.35">
      <c r="B70" t="s">
        <v>23</v>
      </c>
      <c r="C70" t="s">
        <v>20</v>
      </c>
    </row>
    <row r="71" spans="2:26" x14ac:dyDescent="0.35">
      <c r="B71" t="s">
        <v>23</v>
      </c>
      <c r="C71" t="s">
        <v>21</v>
      </c>
    </row>
    <row r="72" spans="2:26" x14ac:dyDescent="0.35">
      <c r="B72" t="s">
        <v>23</v>
      </c>
      <c r="C72" t="s">
        <v>68</v>
      </c>
    </row>
    <row r="73" spans="2:26" x14ac:dyDescent="0.35">
      <c r="B73" t="s">
        <v>24</v>
      </c>
      <c r="C73" t="s">
        <v>0</v>
      </c>
      <c r="D73">
        <v>0.17647058823529413</v>
      </c>
      <c r="E73">
        <v>0.16666666666666666</v>
      </c>
      <c r="F73">
        <v>0.10256410256410256</v>
      </c>
      <c r="G73">
        <v>0.12903225806451613</v>
      </c>
      <c r="H73">
        <v>0.16666666666666666</v>
      </c>
      <c r="I73">
        <v>6.9767441860465115E-2</v>
      </c>
      <c r="J73">
        <v>0.2</v>
      </c>
      <c r="K73">
        <v>0.1276595744680851</v>
      </c>
      <c r="L73">
        <v>0.25</v>
      </c>
      <c r="M73">
        <v>0.15789473684210525</v>
      </c>
      <c r="N73">
        <v>0.125</v>
      </c>
      <c r="O73">
        <v>0.14285714285714285</v>
      </c>
      <c r="P73">
        <v>0.23809523809523808</v>
      </c>
      <c r="Q73">
        <v>0.125</v>
      </c>
      <c r="R73">
        <v>0.16666666666666666</v>
      </c>
      <c r="S73">
        <v>0.23076923076923078</v>
      </c>
      <c r="T73">
        <v>0.11764705882352941</v>
      </c>
      <c r="U73">
        <v>0.14285714285714285</v>
      </c>
      <c r="V73">
        <v>0.10344827586206896</v>
      </c>
      <c r="W73">
        <v>0.13333333333333333</v>
      </c>
      <c r="X73">
        <f t="shared" si="0"/>
        <v>0.1536198062316127</v>
      </c>
      <c r="Z73">
        <v>0.1536198062316127</v>
      </c>
    </row>
    <row r="74" spans="2:26" x14ac:dyDescent="0.35">
      <c r="B74" t="s">
        <v>24</v>
      </c>
      <c r="C74" t="s">
        <v>15</v>
      </c>
      <c r="D74">
        <v>0</v>
      </c>
      <c r="E74">
        <v>-4.1666666666666664E-2</v>
      </c>
      <c r="F74">
        <v>0</v>
      </c>
      <c r="G74">
        <v>0</v>
      </c>
      <c r="H74">
        <v>0</v>
      </c>
      <c r="I74">
        <v>0</v>
      </c>
      <c r="J74">
        <v>-0.05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f t="shared" si="0"/>
        <v>-4.5833333333333334E-3</v>
      </c>
      <c r="Z74">
        <v>-4.5833333333333334E-3</v>
      </c>
    </row>
    <row r="75" spans="2:26" x14ac:dyDescent="0.35">
      <c r="B75" t="s">
        <v>24</v>
      </c>
      <c r="C75" t="s">
        <v>4</v>
      </c>
      <c r="D75">
        <v>0</v>
      </c>
      <c r="E75">
        <v>0.125</v>
      </c>
      <c r="F75">
        <v>0.15384615384615385</v>
      </c>
      <c r="G75">
        <v>0.16129032258064516</v>
      </c>
      <c r="H75">
        <v>0.16666666666666666</v>
      </c>
      <c r="I75">
        <v>0.18604651162790697</v>
      </c>
      <c r="J75">
        <v>0.05</v>
      </c>
      <c r="K75">
        <v>0.14893617021276595</v>
      </c>
      <c r="L75">
        <v>6.25E-2</v>
      </c>
      <c r="M75">
        <v>0.15789473684210525</v>
      </c>
      <c r="N75">
        <v>0.16666666666666666</v>
      </c>
      <c r="O75">
        <v>0.10714285714285714</v>
      </c>
      <c r="P75">
        <v>4.7619047619047616E-2</v>
      </c>
      <c r="Q75">
        <v>0.125</v>
      </c>
      <c r="R75">
        <v>8.3333333333333329E-2</v>
      </c>
      <c r="S75">
        <v>7.6923076923076927E-2</v>
      </c>
      <c r="T75">
        <v>0.14705882352941177</v>
      </c>
      <c r="U75">
        <v>0.14285714285714285</v>
      </c>
      <c r="V75">
        <v>0.17241379310344829</v>
      </c>
      <c r="W75">
        <v>8.8888888888888892E-2</v>
      </c>
      <c r="X75">
        <f t="shared" si="0"/>
        <v>0.11850420959200587</v>
      </c>
      <c r="Z75">
        <v>0.11850420959200587</v>
      </c>
    </row>
    <row r="76" spans="2:26" x14ac:dyDescent="0.35">
      <c r="B76" t="s">
        <v>24</v>
      </c>
      <c r="C76" t="s">
        <v>15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-3.5714285714285712E-2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-4.4444444444444446E-2</v>
      </c>
      <c r="X76">
        <f t="shared" si="0"/>
        <v>-4.0079365079365072E-3</v>
      </c>
      <c r="Z76">
        <v>-4.0079365079365072E-3</v>
      </c>
    </row>
    <row r="77" spans="2:26" x14ac:dyDescent="0.35">
      <c r="B77" t="s">
        <v>24</v>
      </c>
      <c r="C77" t="s">
        <v>5</v>
      </c>
      <c r="D77">
        <v>0.11764705882352941</v>
      </c>
      <c r="E77">
        <v>0.125</v>
      </c>
      <c r="F77">
        <v>0.12820512820512819</v>
      </c>
      <c r="G77">
        <v>0.12903225806451613</v>
      </c>
      <c r="H77">
        <v>5.5555555555555552E-2</v>
      </c>
      <c r="I77">
        <v>9.3023255813953487E-2</v>
      </c>
      <c r="J77">
        <v>0.15</v>
      </c>
      <c r="K77">
        <v>6.3829787234042548E-2</v>
      </c>
      <c r="L77">
        <v>0.1875</v>
      </c>
      <c r="M77">
        <v>0.15789473684210525</v>
      </c>
      <c r="N77">
        <v>4.1666666666666664E-2</v>
      </c>
      <c r="O77">
        <v>0.14285714285714285</v>
      </c>
      <c r="P77">
        <v>0.14285714285714285</v>
      </c>
      <c r="Q77">
        <v>8.3333333333333329E-2</v>
      </c>
      <c r="R77">
        <v>0.125</v>
      </c>
      <c r="S77">
        <v>7.6923076923076927E-2</v>
      </c>
      <c r="T77">
        <v>0.11764705882352941</v>
      </c>
      <c r="U77">
        <v>0.14285714285714285</v>
      </c>
      <c r="V77">
        <v>0.13793103448275862</v>
      </c>
      <c r="W77">
        <v>0.1111111111111111</v>
      </c>
      <c r="X77">
        <f t="shared" si="0"/>
        <v>0.11649357452253677</v>
      </c>
      <c r="Z77">
        <v>0.11649357452253677</v>
      </c>
    </row>
    <row r="78" spans="2:26" x14ac:dyDescent="0.35">
      <c r="B78" t="s">
        <v>24</v>
      </c>
      <c r="C78" t="s">
        <v>15</v>
      </c>
      <c r="D78">
        <v>-5.8823529411764705E-2</v>
      </c>
      <c r="E78">
        <v>0</v>
      </c>
      <c r="F78">
        <v>-2.564102564102564E-2</v>
      </c>
      <c r="G78">
        <v>0</v>
      </c>
      <c r="H78">
        <v>-5.5555555555555552E-2</v>
      </c>
      <c r="I78">
        <v>-2.3255813953488372E-2</v>
      </c>
      <c r="J78">
        <v>0</v>
      </c>
      <c r="K78">
        <v>-0.10638297872340426</v>
      </c>
      <c r="L78">
        <v>0</v>
      </c>
      <c r="M78">
        <v>0</v>
      </c>
      <c r="N78">
        <v>-4.1666666666666664E-2</v>
      </c>
      <c r="O78">
        <v>0</v>
      </c>
      <c r="P78">
        <v>0</v>
      </c>
      <c r="Q78">
        <v>-8.3333333333333329E-2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f t="shared" si="0"/>
        <v>-1.9732945164261925E-2</v>
      </c>
      <c r="Z78">
        <v>-1.9732945164261925E-2</v>
      </c>
    </row>
    <row r="79" spans="2:26" x14ac:dyDescent="0.35">
      <c r="B79" t="s">
        <v>24</v>
      </c>
      <c r="C79" t="s">
        <v>6</v>
      </c>
      <c r="D79">
        <v>0</v>
      </c>
      <c r="E79">
        <v>0</v>
      </c>
      <c r="F79">
        <v>7.6923076923076927E-2</v>
      </c>
      <c r="G79">
        <v>3.2258064516129031E-2</v>
      </c>
      <c r="H79">
        <v>0</v>
      </c>
      <c r="I79">
        <v>4.6511627906976744E-2</v>
      </c>
      <c r="J79">
        <v>0.05</v>
      </c>
      <c r="K79">
        <v>4.2553191489361701E-2</v>
      </c>
      <c r="L79">
        <v>0</v>
      </c>
      <c r="M79">
        <v>5.2631578947368418E-2</v>
      </c>
      <c r="N79">
        <v>0</v>
      </c>
      <c r="O79">
        <v>7.1428571428571425E-2</v>
      </c>
      <c r="P79">
        <v>4.7619047619047616E-2</v>
      </c>
      <c r="Q79">
        <v>0.125</v>
      </c>
      <c r="R79">
        <v>4.1666666666666664E-2</v>
      </c>
      <c r="S79">
        <v>7.6923076923076927E-2</v>
      </c>
      <c r="T79">
        <v>2.9411764705882353E-2</v>
      </c>
      <c r="U79">
        <v>9.5238095238095233E-2</v>
      </c>
      <c r="V79">
        <v>6.8965517241379309E-2</v>
      </c>
      <c r="W79">
        <v>0.13333333333333333</v>
      </c>
      <c r="X79">
        <f t="shared" si="0"/>
        <v>4.9523180646948287E-2</v>
      </c>
      <c r="Z79">
        <v>4.9523180646948287E-2</v>
      </c>
    </row>
    <row r="80" spans="2:26" x14ac:dyDescent="0.35">
      <c r="B80" t="s">
        <v>24</v>
      </c>
      <c r="C80" t="s">
        <v>15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-2.3809523809523808E-2</v>
      </c>
      <c r="V80">
        <v>0</v>
      </c>
      <c r="W80">
        <v>0</v>
      </c>
      <c r="X80">
        <f t="shared" si="0"/>
        <v>-1.1904761904761904E-3</v>
      </c>
      <c r="Z80">
        <v>-1.1904761904761904E-3</v>
      </c>
    </row>
    <row r="81" spans="2:26" x14ac:dyDescent="0.35">
      <c r="B81" t="s">
        <v>24</v>
      </c>
      <c r="C81" t="s">
        <v>7</v>
      </c>
      <c r="D81">
        <v>0</v>
      </c>
      <c r="E81">
        <v>0</v>
      </c>
      <c r="F81">
        <v>7.6923076923076927E-2</v>
      </c>
      <c r="G81">
        <v>9.6774193548387094E-2</v>
      </c>
      <c r="H81">
        <v>5.5555555555555552E-2</v>
      </c>
      <c r="I81">
        <v>9.3023255813953487E-2</v>
      </c>
      <c r="J81">
        <v>0.15</v>
      </c>
      <c r="K81">
        <v>6.3829787234042548E-2</v>
      </c>
      <c r="L81">
        <v>0</v>
      </c>
      <c r="M81">
        <v>0.10526315789473684</v>
      </c>
      <c r="N81">
        <v>0.125</v>
      </c>
      <c r="O81">
        <v>0.10714285714285714</v>
      </c>
      <c r="P81">
        <v>9.5238095238095233E-2</v>
      </c>
      <c r="Q81">
        <v>0</v>
      </c>
      <c r="R81">
        <v>8.3333333333333329E-2</v>
      </c>
      <c r="S81">
        <v>7.6923076923076927E-2</v>
      </c>
      <c r="T81">
        <v>0.11764705882352941</v>
      </c>
      <c r="U81">
        <v>0.11904761904761904</v>
      </c>
      <c r="V81">
        <v>6.8965517241379309E-2</v>
      </c>
      <c r="W81">
        <v>4.4444444444444446E-2</v>
      </c>
      <c r="X81">
        <f t="shared" si="0"/>
        <v>7.3955551458204358E-2</v>
      </c>
      <c r="Z81">
        <v>7.3955551458204358E-2</v>
      </c>
    </row>
    <row r="82" spans="2:26" x14ac:dyDescent="0.35">
      <c r="B82" t="s">
        <v>24</v>
      </c>
      <c r="C82" t="s">
        <v>15</v>
      </c>
      <c r="D82">
        <v>0</v>
      </c>
      <c r="E82">
        <v>-8.3333333333333329E-2</v>
      </c>
      <c r="F82">
        <v>0</v>
      </c>
      <c r="G82">
        <v>-3.2258064516129031E-2</v>
      </c>
      <c r="H82">
        <v>0</v>
      </c>
      <c r="I82">
        <v>-2.3255813953488372E-2</v>
      </c>
      <c r="J82">
        <v>0</v>
      </c>
      <c r="K82">
        <v>0</v>
      </c>
      <c r="L82">
        <v>-6.25E-2</v>
      </c>
      <c r="M82">
        <v>-5.2631578947368418E-2</v>
      </c>
      <c r="N82">
        <v>0</v>
      </c>
      <c r="O82">
        <v>0</v>
      </c>
      <c r="P82">
        <v>-4.7619047619047616E-2</v>
      </c>
      <c r="Q82">
        <v>-4.1666666666666664E-2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-1.7163225251801674E-2</v>
      </c>
      <c r="Z82">
        <v>-1.7163225251801674E-2</v>
      </c>
    </row>
    <row r="84" spans="2:26" x14ac:dyDescent="0.35">
      <c r="B84" t="s">
        <v>24</v>
      </c>
      <c r="C84" t="s">
        <v>42</v>
      </c>
    </row>
    <row r="85" spans="2:26" x14ac:dyDescent="0.35">
      <c r="B85" t="s">
        <v>24</v>
      </c>
      <c r="C85" t="s">
        <v>43</v>
      </c>
    </row>
    <row r="86" spans="2:26" x14ac:dyDescent="0.35">
      <c r="C86" t="s">
        <v>72</v>
      </c>
    </row>
    <row r="87" spans="2:26" x14ac:dyDescent="0.35">
      <c r="B87" t="s">
        <v>24</v>
      </c>
      <c r="C87" t="s">
        <v>20</v>
      </c>
    </row>
    <row r="88" spans="2:26" x14ac:dyDescent="0.35">
      <c r="B88" t="s">
        <v>24</v>
      </c>
      <c r="C88" t="s">
        <v>21</v>
      </c>
    </row>
    <row r="89" spans="2:26" x14ac:dyDescent="0.35">
      <c r="B89" t="s">
        <v>24</v>
      </c>
      <c r="C89" t="s">
        <v>22</v>
      </c>
    </row>
  </sheetData>
  <pageMargins left="0.7" right="0.7" top="0.78740157499999996" bottom="0.78740157499999996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920BE-9601-4C44-852C-7F9AAF641EAD}">
  <dimension ref="C2:I20"/>
  <sheetViews>
    <sheetView zoomScale="79" workbookViewId="0">
      <selection activeCell="C10" sqref="C10"/>
    </sheetView>
  </sheetViews>
  <sheetFormatPr baseColWidth="10" defaultRowHeight="14.5" x14ac:dyDescent="0.35"/>
  <sheetData>
    <row r="2" spans="3:9" x14ac:dyDescent="0.35">
      <c r="C2" t="s">
        <v>110</v>
      </c>
    </row>
    <row r="9" spans="3:9" x14ac:dyDescent="0.35">
      <c r="C9" t="s">
        <v>123</v>
      </c>
      <c r="D9" t="s">
        <v>73</v>
      </c>
      <c r="E9" t="s">
        <v>112</v>
      </c>
    </row>
    <row r="10" spans="3:9" x14ac:dyDescent="0.35">
      <c r="F10">
        <v>3</v>
      </c>
      <c r="G10">
        <v>2</v>
      </c>
      <c r="H10">
        <v>1</v>
      </c>
      <c r="I10">
        <v>0</v>
      </c>
    </row>
    <row r="11" spans="3:9" x14ac:dyDescent="0.35">
      <c r="C11" t="s">
        <v>0</v>
      </c>
      <c r="D11" s="4">
        <v>0.15</v>
      </c>
      <c r="F11" t="s">
        <v>90</v>
      </c>
      <c r="G11" t="s">
        <v>81</v>
      </c>
      <c r="H11" t="s">
        <v>113</v>
      </c>
      <c r="I11" t="s">
        <v>88</v>
      </c>
    </row>
    <row r="12" spans="3:9" x14ac:dyDescent="0.35">
      <c r="C12" t="s">
        <v>15</v>
      </c>
    </row>
    <row r="13" spans="3:9" x14ac:dyDescent="0.35">
      <c r="C13" t="s">
        <v>4</v>
      </c>
      <c r="D13" s="4">
        <v>0.11</v>
      </c>
      <c r="F13" t="s">
        <v>114</v>
      </c>
      <c r="G13" t="s">
        <v>117</v>
      </c>
      <c r="H13" t="s">
        <v>116</v>
      </c>
      <c r="I13" t="s">
        <v>115</v>
      </c>
    </row>
    <row r="14" spans="3:9" x14ac:dyDescent="0.35">
      <c r="C14" t="s">
        <v>15</v>
      </c>
    </row>
    <row r="15" spans="3:9" x14ac:dyDescent="0.35">
      <c r="C15" t="s">
        <v>5</v>
      </c>
      <c r="D15" s="4">
        <v>0.11</v>
      </c>
      <c r="F15" t="s">
        <v>114</v>
      </c>
      <c r="G15" t="s">
        <v>117</v>
      </c>
      <c r="H15" t="s">
        <v>116</v>
      </c>
      <c r="I15" t="s">
        <v>115</v>
      </c>
    </row>
    <row r="16" spans="3:9" x14ac:dyDescent="0.35">
      <c r="C16" t="s">
        <v>15</v>
      </c>
    </row>
    <row r="17" spans="3:9" x14ac:dyDescent="0.35">
      <c r="C17" t="s">
        <v>6</v>
      </c>
      <c r="D17" s="4">
        <v>0.03</v>
      </c>
      <c r="F17" t="s">
        <v>118</v>
      </c>
      <c r="G17" s="4">
        <v>0.03</v>
      </c>
      <c r="H17" s="4">
        <v>0.02</v>
      </c>
      <c r="I17" t="s">
        <v>119</v>
      </c>
    </row>
    <row r="18" spans="3:9" x14ac:dyDescent="0.35">
      <c r="C18" t="s">
        <v>15</v>
      </c>
    </row>
    <row r="19" spans="3:9" x14ac:dyDescent="0.35">
      <c r="C19" t="s">
        <v>7</v>
      </c>
      <c r="D19" s="4">
        <v>7.0000000000000007E-2</v>
      </c>
      <c r="F19" t="s">
        <v>120</v>
      </c>
      <c r="G19" t="s">
        <v>122</v>
      </c>
      <c r="H19" t="s">
        <v>121</v>
      </c>
      <c r="I19" t="s">
        <v>102</v>
      </c>
    </row>
    <row r="20" spans="3:9" x14ac:dyDescent="0.35">
      <c r="C20" t="s">
        <v>15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10F8E-BB5D-43CD-ACE1-1126CD507B67}">
  <dimension ref="B7:F9"/>
  <sheetViews>
    <sheetView topLeftCell="A5" workbookViewId="0">
      <selection activeCell="D7" sqref="B7:F9"/>
    </sheetView>
  </sheetViews>
  <sheetFormatPr baseColWidth="10" defaultRowHeight="14.5" x14ac:dyDescent="0.35"/>
  <sheetData>
    <row r="7" spans="2:6" x14ac:dyDescent="0.35">
      <c r="C7" t="s">
        <v>44</v>
      </c>
      <c r="D7" t="s">
        <v>45</v>
      </c>
      <c r="E7" t="s">
        <v>46</v>
      </c>
      <c r="F7" t="s">
        <v>47</v>
      </c>
    </row>
    <row r="8" spans="2:6" x14ac:dyDescent="0.35">
      <c r="B8" t="s">
        <v>64</v>
      </c>
      <c r="C8">
        <v>0</v>
      </c>
      <c r="D8">
        <v>0.66666666666666663</v>
      </c>
      <c r="E8">
        <v>0.5</v>
      </c>
      <c r="F8">
        <v>0.33333333333333331</v>
      </c>
    </row>
    <row r="9" spans="2:6" x14ac:dyDescent="0.35">
      <c r="B9" t="s">
        <v>65</v>
      </c>
      <c r="C9">
        <v>0</v>
      </c>
      <c r="D9">
        <v>0</v>
      </c>
      <c r="E9">
        <v>1.3333333333333333</v>
      </c>
      <c r="F9">
        <v>0.33333333333333331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Tabelle1</vt:lpstr>
      <vt:lpstr>alles</vt:lpstr>
      <vt:lpstr>Tabelle2</vt:lpstr>
      <vt:lpstr>Tabelle3</vt:lpstr>
      <vt:lpstr>Piet Datensatz</vt:lpstr>
      <vt:lpstr>Skala 0-100%</vt:lpstr>
      <vt:lpstr>Skala abhängig von Erwartung</vt:lpstr>
      <vt:lpstr>Skala abhängig vom Mittelwert</vt:lpstr>
      <vt:lpstr>Bsp_Anf_End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Marla Marai Jablonski</dc:creator>
  <cp:lastModifiedBy>Marla Marai Jablonski</cp:lastModifiedBy>
  <dcterms:created xsi:type="dcterms:W3CDTF">2025-08-19T11:07:26Z</dcterms:created>
  <dcterms:modified xsi:type="dcterms:W3CDTF">2025-09-16T09:58:15Z</dcterms:modified>
</cp:coreProperties>
</file>